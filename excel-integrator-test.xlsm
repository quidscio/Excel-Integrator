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14805" windowHeight="8010" activeTab="1"/>
  </bookViews>
  <sheets>
    <sheet name="pt.1" sheetId="3" r:id="rId1"/>
    <sheet name="tData" sheetId="1" r:id="rId2"/>
    <sheet name="tImport" sheetId="2" r:id="rId3"/>
  </sheets>
  <definedNames>
    <definedName name="ExternalData_1" localSheetId="2" hidden="1">tImport!$A$1:$U$16</definedName>
  </definedNames>
  <calcPr calcId="145621"/>
  <pivotCaches>
    <pivotCache cacheId="0" r:id="rId4"/>
  </pivotCaches>
</workbook>
</file>

<file path=xl/calcChain.xml><?xml version="1.0" encoding="utf-8"?>
<calcChain xmlns="http://schemas.openxmlformats.org/spreadsheetml/2006/main">
  <c r="W3" i="1" l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2" i="1" l="1"/>
  <c r="X2" i="1"/>
  <c r="W2" i="1"/>
</calcChain>
</file>

<file path=xl/connections.xml><?xml version="1.0" encoding="utf-8"?>
<connections xmlns="http://schemas.openxmlformats.org/spreadsheetml/2006/main">
  <connection id="1" keepAlive="1" name="Query - excel-integrator-test-data" description="Connection to the 'excel-integrator-test-data' query in the workbook." type="5" refreshedVersion="4" background="1" saveData="1">
    <dbPr connection="provider=Microsoft.Mashup.OleDb.1;data source=$EmbeddedMashup(3158cd8f-3fb8-4ddb-b4f4-0c3431319b41)$;location=excel-integrator-test-data;extended properties=UEsDBBQAAgAIAPG1h03aSz7UqgAAAPoAAAASABwAQ29uZmlnL1BhY2thZ2UueG1sIKIYACigFAAAAAAAAAAAAAAAAAAAAAAAAAAAAIWPQQ6CMBREr0K657eFYIR8ysKtJCZE45aUCo1QDBTL3Vx4JK+giWLcuZt5eYuZx+2O2dy13lUNo+5NSjgw4ikj+0qbOiWTPflrkgnclfJc1sp7yWZM5rFKSWPtJaHUOQcuhH6oacAYp8d8W8hGdSX5yvq/7Gsz2tJIRQQe3mNEAFEMEQ8jCBhHumDMtVkyhwjCIF4BQ/qDcTO1dhqUUMbfF0iXivTzQzwBUEsDBBQAAgAIAPG1h00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DxtYdNKw5WMLYBAAD5AwAAEwAcAEZvcm11bGFzL1NlY3Rpb24xLm0gohgAKKAUAAAAAAAAAAAAAAAAAAAAAAAAAAAAdZLBbtswDIbvAfIOgntJAMeYs60YVvgwpB22y7AhOa0eDFVmHRWyZFBUsiDou4+2s7SoHV8s8BP5k/zlQZF2Vqz7f3oznUwnfisRSnEVwV8FZqEtQYWSHC4IPC1KSTISmTBA04ngb+0CKuDIyu+SW6dCDZZmX7WBZOU42ZKfRb8/5xJV3qB7Yi2fd7Xzu07h+1khvyyZKL+L5vH9LRhdawLMojiKxcqZUFufLdNY3FnlSm2rLF1+XMbiV3AEazoYyF6OyQ9n4c887lu/in6iq5mV4hvIEtC3k23kA188kVN81k8Zi/tT/IsxayWNRJ8RhtclV1tpK664OTTwUm6D0vpHh3XfcQv9bEQ/Ph558TyflaaQgbYOC13ypMQZghg9x+IY9WQQVv3CB3GEiv0dhA13GmQFA9CEB6P9tuDNn2F7Jl1Dd4HfyI6tgfLylUdnjNuzH0zZ4usPSTv0K9SN+xaFpi0yAhrnqWhVhrtQygV7ASLQHoCG9f5nKZarHB4GmRb2xVOwUCzfpZ+GooaKs08jBnWqo84haWWgCGiGScqlBW+1ScfQ8jJ6P4Ke59OJtqOv8uYfUEsBAi0AFAACAAgA8bWHTdpLPtSqAAAA+gAAABIAAAAAAAAAAAAAAAAAAAAAAENvbmZpZy9QYWNrYWdlLnhtbFBLAQItABQAAgAIAPG1h00PyumrpAAAAOkAAAATAAAAAAAAAAAAAAAAAPYAAABbQ29udGVudF9UeXBlc10ueG1sUEsBAi0AFAACAAgA8bWHTSsOVjC2AQAA+QMAABMAAAAAAAAAAAAAAAAA5wEAAEZvcm11bGFzL1NlY3Rpb24xLm1QSwUGAAAAAAMAAwDCAAAA6gMAAAAA" command="SELECT * FROM [excel-integrator-test-data]"/>
  </connection>
</connections>
</file>

<file path=xl/sharedStrings.xml><?xml version="1.0" encoding="utf-8"?>
<sst xmlns="http://schemas.openxmlformats.org/spreadsheetml/2006/main" count="502" uniqueCount="95">
  <si>
    <t>external_author_id</t>
  </si>
  <si>
    <t>author</t>
  </si>
  <si>
    <t>content</t>
  </si>
  <si>
    <t>region</t>
  </si>
  <si>
    <t>language</t>
  </si>
  <si>
    <t>publish_date</t>
  </si>
  <si>
    <t>harvested_date</t>
  </si>
  <si>
    <t>following</t>
  </si>
  <si>
    <t>followers</t>
  </si>
  <si>
    <t>updates</t>
  </si>
  <si>
    <t>post_type</t>
  </si>
  <si>
    <t>account_type</t>
  </si>
  <si>
    <t>retweet</t>
  </si>
  <si>
    <t>account_category</t>
  </si>
  <si>
    <t>new_june_2018</t>
  </si>
  <si>
    <t>alt_external_id</t>
  </si>
  <si>
    <t>tweet_id</t>
  </si>
  <si>
    <t>article_url</t>
  </si>
  <si>
    <t>tco1_step1</t>
  </si>
  <si>
    <t>tco2_step1</t>
  </si>
  <si>
    <t>tco3_step1</t>
  </si>
  <si>
    <t>906000000000000000</t>
  </si>
  <si>
    <t>10_GOP</t>
  </si>
  <si>
    <t>"We have a sitting Democrat US Senator on trial for corruption and you've barely heard a peep from the mainstream media." ~ @nedryun https://t.co/gh6g0D1oiC</t>
  </si>
  <si>
    <t>Unknown</t>
  </si>
  <si>
    <t>English</t>
  </si>
  <si>
    <t/>
  </si>
  <si>
    <t>Right</t>
  </si>
  <si>
    <t>RightTroll</t>
  </si>
  <si>
    <t>0</t>
  </si>
  <si>
    <t>905874659358453760</t>
  </si>
  <si>
    <t>914580356430536707</t>
  </si>
  <si>
    <t>http://twitter.com/905874659358453760/statuses/914580356430536707</t>
  </si>
  <si>
    <t>https://twitter.com/10_gop/status/914580356430536707/video/1</t>
  </si>
  <si>
    <t>Marshawn Lynch arrives to game in anti-Trump shirt. Judging by his sagging pants the shirt should say Lynch vs. belt https://t.co/mLH1i30LZZ</t>
  </si>
  <si>
    <t>914621840496189440</t>
  </si>
  <si>
    <t>http://twitter.com/905874659358453760/statuses/914621840496189440</t>
  </si>
  <si>
    <t>https://twitter.com/damienwoody/status/914568524449959937/video/1</t>
  </si>
  <si>
    <t>Daughter of fallen Navy Sailor delivers powerful monologue on anthem protests, burns her NFL packers gear.  #BoycottNFL https://t.co/qDlFBGMeag</t>
  </si>
  <si>
    <t>RETWEET</t>
  </si>
  <si>
    <t>914623490375979008</t>
  </si>
  <si>
    <t>http://twitter.com/905874659358453760/statuses/914623490375979008</t>
  </si>
  <si>
    <t>https://twitter.com/10_gop/status/913231923715198976/video/1</t>
  </si>
  <si>
    <t>JUST IN: President Trump dedicates Presidents Cup golf tournament trophy to the people of Florida, Texas and Puerto Rico. https://t.co/z9wVa4djAE</t>
  </si>
  <si>
    <t>914639143690555392</t>
  </si>
  <si>
    <t>http://twitter.com/905874659358453760/statuses/914639143690555392</t>
  </si>
  <si>
    <t>https://twitter.com/10_gop/status/914639143690555392/video/1</t>
  </si>
  <si>
    <t>19,000 RESPECTING our National Anthem! #StandForOurAnthemðŸ‡ºðŸ‡¸ https://t.co/czutyGaMQV</t>
  </si>
  <si>
    <t>914312219952861184</t>
  </si>
  <si>
    <t>http://twitter.com/905874659358453760/statuses/914312219952861184</t>
  </si>
  <si>
    <t>https://twitter.com/realDonaldTrump/status/914310901855129601/video/1</t>
  </si>
  <si>
    <t>Dan Bongino: "Nobody trolls liberals better than Donald Trump." Exactly!  https://t.co/AigV93aC8J</t>
  </si>
  <si>
    <t>914320835325853696</t>
  </si>
  <si>
    <t>http://twitter.com/905874659358453760/statuses/914320835325853696</t>
  </si>
  <si>
    <t>https://twitter.com/FoxNews/status/914239496786505729/video/1</t>
  </si>
  <si>
    <t>ðŸðŸðŸ https://t.co/MorL3AQW0z</t>
  </si>
  <si>
    <t>914321156466933760</t>
  </si>
  <si>
    <t>http://twitter.com/905874659358453760/statuses/914321156466933760</t>
  </si>
  <si>
    <t>https://twitter.com/Cernovich/status/914314644772270080/photo/1</t>
  </si>
  <si>
    <t>'@SenatorMenendez @CarmenYulinCruz Doesn't matter that CNN doesn't report on your crimes. This won't change the fact that you're going down.'</t>
  </si>
  <si>
    <t>914322215537119234</t>
  </si>
  <si>
    <t>http://twitter.com/905874659358453760/statuses/914322215537119234</t>
  </si>
  <si>
    <t>As much as I hate promoting CNN article, here they are admitting EVERYTHING Trump said about PR relief two days ago. https://t.co/tZmSeA48oh</t>
  </si>
  <si>
    <t>914335818503933957</t>
  </si>
  <si>
    <t>http://twitter.com/905874659358453760/statuses/914335818503933957</t>
  </si>
  <si>
    <t>http://www.cnn.com/2017/09/27/us/puerto-rico-aid-problem/index.html</t>
  </si>
  <si>
    <t>After the 'genocide' remark from San Juan Mayor the narrative has changed though. @CNN fixes it's reporting constantly.</t>
  </si>
  <si>
    <t>914336862730375170</t>
  </si>
  <si>
    <t>http://twitter.com/905874659358453760/statuses/914336862730375170</t>
  </si>
  <si>
    <t>After the 'genocide' remark from San Juan Mayor the narrative has changed though. @CNN fixes its reporting constantly.</t>
  </si>
  <si>
    <t>914338590313902080</t>
  </si>
  <si>
    <t>http://twitter.com/905874659358453760/statuses/914338590313902080</t>
  </si>
  <si>
    <t>'@thehill Why won't she apologize to us for lying?'</t>
  </si>
  <si>
    <t>914342060437753857</t>
  </si>
  <si>
    <t>http://twitter.com/905874659358453760/statuses/914342060437753857</t>
  </si>
  <si>
    <t>Sarah Sanders destroys NBC reporter: "Trump made a joke, maybe you guys should get a sense of humor." https://t.co/IceJ8acE3G</t>
  </si>
  <si>
    <t>917856606729236480</t>
  </si>
  <si>
    <t>http://twitter.com/905874659358453760/statuses/917856606729236480</t>
  </si>
  <si>
    <t>https://twitter.com/10_gop/status/917856606729236480/video/1</t>
  </si>
  <si>
    <t>Hi @MichelleObama, remember when you said Weinstein is a "wonderful human being, a good friend and just a powerhouse."  Do you disavow? https://t.co/pxNaJhhhRc</t>
  </si>
  <si>
    <t>917872218067161090</t>
  </si>
  <si>
    <t>http://twitter.com/905874659358453760/statuses/917872218067161090</t>
  </si>
  <si>
    <t>https://twitter.com/10_gop/status/917872218067161090/video/1</t>
  </si>
  <si>
    <t>Hi @MichelleObama, remember when you praised Harvey Weinstein as 'a wonderful human being, a good friend and a powerhouse."  Do you disavow? https://t.co/sRc1TK78AW</t>
  </si>
  <si>
    <t>917873988952645632</t>
  </si>
  <si>
    <t>http://twitter.com/905874659358453760/statuses/917873988952645632</t>
  </si>
  <si>
    <t>https://twitter.com/10_gop/status/917873988952645632/video/1</t>
  </si>
  <si>
    <t>x</t>
  </si>
  <si>
    <t>Year</t>
  </si>
  <si>
    <t>Month</t>
  </si>
  <si>
    <t>Week</t>
  </si>
  <si>
    <t>Row Labels</t>
  </si>
  <si>
    <t>Grand Total</t>
  </si>
  <si>
    <t>Column Labels</t>
  </si>
  <si>
    <t>Count of external_author_id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</si>
</sst>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 applyAlignment="1"/>
    <xf numFmtId="0" fontId="0" fillId="0" borderId="0" xfId="0" quotePrefix="1" applyNumberFormat="1" applyAlignment="1"/>
    <xf numFmtId="0" fontId="0" fillId="0" borderId="0" xfId="0" applyNumberFormat="1" applyAlignme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0" borderId="0" xfId="0" applyFont="1"/>
  </cellXfs>
  <cellStyles count="1">
    <cellStyle name="Normal" xfId="0" builtinId="0"/>
  </cellStyles>
  <dxfs count="50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27" formatCode="m/d/yyyy\ h:mm"/>
      <alignment horizontal="general" vertical="bottom" textRotation="0" wrapText="0" indent="0" justifyLastLine="0" shrinkToFit="0" readingOrder="0"/>
    </dxf>
    <dxf>
      <numFmt numFmtId="27" formatCode="m/d/yyyy\ h:mm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27" formatCode="m/d/yyyy\ h:mm"/>
      <alignment horizontal="general" vertical="bottom" textRotation="0" wrapText="0" indent="0" justifyLastLine="0" shrinkToFit="0" readingOrder="0"/>
    </dxf>
    <dxf>
      <numFmt numFmtId="27" formatCode="m/d/yyyy\ h:mm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Medium9">
    <tableStyle name="TableStyleQueryPreview" pivot="0" count="3">
      <tableStyleElement type="wholeTable" dxfId="49"/>
      <tableStyleElement type="headerRow" dxfId="48"/>
      <tableStyleElement type="firstRowStripe" dxfId="47"/>
    </tableStyle>
    <tableStyle name="TableStyleQueryResult" pivot="0" count="3">
      <tableStyleElement type="wholeTable" dxfId="46"/>
      <tableStyleElement type="headerRow" dxfId="45"/>
      <tableStyleElement type="firstRowStripe" dxfId="4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Full Name" refreshedDate="43441.970465046295" createdVersion="4" refreshedVersion="4" minRefreshableVersion="3" recordCount="15">
  <cacheSource type="worksheet">
    <worksheetSource name="tblData"/>
  </cacheSource>
  <cacheFields count="25">
    <cacheField name="external_author_id" numFmtId="0">
      <sharedItems/>
    </cacheField>
    <cacheField name="author" numFmtId="0">
      <sharedItems count="298">
        <s v="10_GOP"/>
        <s v="ADDIE_HOL" u="1"/>
        <s v="ALAXXATRT" u="1"/>
        <s v="AMBERDAVV" u="1"/>
        <s v="AMBERLINETR" u="1"/>
        <s v="ADAM_MATHISSS" u="1"/>
        <s v="ARKADII_TROFIM" u="1"/>
        <s v="ALAXXATR" u="1"/>
        <s v="ARESTOVEVG" u="1"/>
        <s v="ADELE_BROCK" u="1"/>
        <s v="ANDRYNAUMOV" u="1"/>
        <s v="ANNABEZGUZIKOVA" u="1"/>
        <s v="ANDREBAKIN" u="1"/>
        <s v="ALFREDTHREE" u="1"/>
        <s v="ANDEYNESTEROV" u="1"/>
        <s v="ANWARGAFUR" u="1"/>
        <s v="ALEXLOVESSHENNA" u="1"/>
        <s v="ALINANOVIKOV022" u="1"/>
        <s v="ACEJINEV" u="1"/>
        <s v="ARISGRAYS" u="1"/>
        <s v="ANNIJONSTR" u="1"/>
        <s v="ACHSAHORKHAN" u="1"/>
        <s v="AFONINMIXAIL" u="1"/>
        <s v="ALEESATRS" u="1"/>
        <s v="ARMEDFREJYA" u="1"/>
        <s v="AMYYSLEGENTR" u="1"/>
        <s v="ANNAROMAN0" u="1"/>
        <s v="AHMADRADJAB" u="1"/>
        <s v="ANGELIKAMUSI" u="1"/>
        <s v="ANDYHASHTAGGER" u="1"/>
        <s v="ARTAUTUMN" u="1"/>
        <s v="ANDRIYCCCP" u="1"/>
        <s v="ALINALINKI_" u="1"/>
        <s v="ANZGRI" u="1"/>
        <s v="ANTONRUMSS" u="1"/>
        <s v="ASHLEEYWES" u="1"/>
        <s v="ABRAMSREBEKAH" u="1"/>
        <s v="AFRICAVSERDCE" u="1"/>
        <s v="AURRLISTR" u="1"/>
        <s v="ADRIENNE_GG" u="1"/>
        <s v="AH_VERONIKI" u="1"/>
        <s v="ANTONHAYHAY" u="1"/>
        <s v="ALISA_FRATKINA" u="1"/>
        <s v="ARGENTINACATLE1" u="1"/>
        <s v="AMBAASTRT" u="1"/>
        <s v="ANFISAMICKEY" u="1"/>
        <s v="AGATA_ALEXEEVA" u="1"/>
        <s v="4EVER1937" u="1"/>
        <s v="ABOUTPOLIT" u="1"/>
        <s v="ANGTHEESTR" u="1"/>
        <s v="ALEMICHLESS" u="1"/>
        <s v="ALBELITATRTS" u="1"/>
        <s v="5EMEN5EMENICH" u="1"/>
        <s v="ANIIANTRS" u="1"/>
        <s v="ANG__BOWERS" u="1"/>
        <s v="ANASTASIAR777" u="1"/>
        <s v="AAAVADAKEDAVRAA" u="1"/>
        <s v="ALIISTRR" u="1"/>
        <s v="ARZHANOVAAA" u="1"/>
        <s v="ALODOY" u="1"/>
        <s v="APUHNA" u="1"/>
        <s v="ANFRAIZER" u="1"/>
        <s v="AMALIA_PETTY" u="1"/>
        <s v="ARKADSHIHKIN" u="1"/>
        <s v="5L5_5L5" u="1"/>
        <s v="1LORENAFAVA1" u="1"/>
        <s v="ARTEM_POLISHHUK" u="1"/>
        <s v="ARIANNA_PER_RY" u="1"/>
        <s v="AHOGAN_AM" u="1"/>
        <s v="ADALESTRTM" u="1"/>
        <s v="ALEX___ANT" u="1"/>
        <s v="ANYA_ISA1282" u="1"/>
        <s v="ANDRUNINVANYA" u="1"/>
        <s v="ANN1EMCCONNELL" u="1"/>
        <s v="ALBERTMORENMORE" u="1"/>
        <s v="ALANISSTRS" u="1"/>
        <s v="AN_N_GASTON" u="1"/>
        <s v="ARTUR__2014" u="1"/>
        <s v="ASHLEYSIMPSN" u="1"/>
        <s v="ANGELABACH991" u="1"/>
        <s v="ANDREBEAULEGER" u="1"/>
        <s v="ANKIDINOVAKIRA" u="1"/>
        <s v="ABBYLOPTRT" u="1"/>
        <s v="AFUCKINSIDE" u="1"/>
        <s v="ALEKSANISIMOF" u="1"/>
        <s v="ANTONOVMENMENCO" u="1"/>
        <s v="AGAFONME" u="1"/>
        <s v="ARIAANST" u="1"/>
        <s v="ALEXXDRTRR" u="1"/>
        <s v="ALIZASSHIELD" u="1"/>
        <s v="ADAMCHAPMANJR" u="1"/>
        <s v="AFONIA_ZHILCOV" u="1"/>
        <s v="6DRUZ" u="1"/>
        <s v="ANISILOPE" u="1"/>
        <s v="ALLAHOMORE" u="1"/>
        <s v="ANDRREETRT" u="1"/>
        <s v="ADKEZLATE" u="1"/>
        <s v="ADLEESTTT" u="1"/>
        <s v="ADELISTRTT" u="1"/>
        <s v="ABBASSHUKRI" u="1"/>
        <s v="ANTHONYCARTR" u="1"/>
        <s v="AFEELIUTR" u="1"/>
        <s v="ALEXXBELYAEV" u="1"/>
        <s v="AMIRICANWILL" u="1"/>
        <s v="AMERICANALBERT" u="1"/>
        <s v="ANDYDREWDANIELS" u="1"/>
        <s v="ABUNUWASA" u="1"/>
        <s v="ANISACRRUTR" u="1"/>
        <s v="ANDRY_VOLK" u="1"/>
        <s v="ALEKSEY_SOKOL_" u="1"/>
        <s v="ALENAZELDINA" u="1"/>
        <s v="ARTKORCHUNOV" u="1"/>
        <s v="ALEX_DUGIN" u="1"/>
        <s v="ANGELISTRR" u="1"/>
        <s v="AMANDAVGREEN" u="1"/>
        <s v="ALMOSTSAINTGIRL" u="1"/>
        <s v="ABIISSROSB" u="1"/>
        <s v="2NDHALFONION" u="1"/>
        <s v="ANTYSHEVALIDA" u="1"/>
        <s v="ANN__BOGDANOVA" u="1"/>
        <s v="ANTHONYCANLASS" u="1"/>
        <s v="ANTHONYWOODBOY" u="1"/>
        <s v="AMALIAHULICK" u="1"/>
        <s v="ALW_ILL" u="1"/>
        <s v="ANDROFAG" u="1"/>
        <s v="ADLEESWOD" u="1"/>
        <s v="ADRI_LOW_R" u="1"/>
        <s v="ALEXBORONIN" u="1"/>
        <s v="AMYYSSTS" u="1"/>
        <s v="ATULSCARPA" u="1"/>
        <s v="ABIGAILSSILK" u="1"/>
        <s v="ANNA_VYSOKAYA" u="1"/>
        <s v="ANDREJFROLOV69" u="1"/>
        <s v="AMBBERTHTT" u="1"/>
        <s v="ARONHOLDEN8" u="1"/>
        <s v="ALEXWARNINGU" u="1"/>
        <s v="AARONALLENALL" u="1"/>
        <s v="ALVA_MC_GHEE" u="1"/>
        <s v="ASWWIMMORRIS" u="1"/>
        <s v="ARKHIPOVTIOVEOF" u="1"/>
        <s v="ANDSBXX30" u="1"/>
        <s v="4EVER_SUSAN" u="1"/>
        <s v="ANASTASSIAZZ" u="1"/>
        <s v="ALINAVIATKOVA" u="1"/>
        <s v="ALYSSABEDOLLA" u="1"/>
        <s v="AMIISTRS" u="1"/>
        <s v="AMCONVOICE" u="1"/>
        <s v="APRRILSBRUSS" u="1"/>
        <s v="ARYANNAJ0NES" u="1"/>
        <s v="AHMADYUSUFF03" u="1"/>
        <s v="AMYGRABMYESSAY" u="1"/>
        <s v="ALTMANCOON" u="1"/>
        <s v="ANAALESSIS" u="1"/>
        <s v="ARNOLDPARRK" u="1"/>
        <s v="AHMADYOUSEF23" u="1"/>
        <s v="AN_NA__AN" u="1"/>
        <s v="ARM_2_ALAN" u="1"/>
        <s v="71BILALJAMIL1" u="1"/>
        <s v="ANGELINADARCY_" u="1"/>
        <s v="ANGELINALADOVA" u="1"/>
        <s v="ANJELICAFAMOUS" u="1"/>
        <s v="ALBERTA_HAYNESS" u="1"/>
        <s v="ANNAMINGT" u="1"/>
        <s v="AHMADHUSSEINII" u="1"/>
        <s v="AAGN1AA" u="1"/>
        <s v="AESPARZZA" u="1"/>
        <s v="ALLBERRTOSS" u="1"/>
        <s v="ADELIINESTRT" u="1"/>
        <s v="AMIYAHSAMUELS" u="1"/>
        <s v="ASSUNCAOWALLAS" u="1"/>
        <s v="1ERIK_LEE" u="1"/>
        <s v="AIDEN7757" u="1"/>
        <s v="ANORAVERD" u="1"/>
        <s v="ANGELITHSS" u="1"/>
        <s v="ANTOSHAKARGIN" u="1"/>
        <s v="ANTONINAPERVAY" u="1"/>
        <s v="ACAB_ZONE" u="1"/>
        <s v="AAATEST1234" u="1"/>
        <s v="AMELIEBALDWIN" u="1"/>
        <s v="AUSTINLOVESBEER" u="1"/>
        <s v="ANGEELISTR" u="1"/>
        <s v="ALECMOOOOODY" u="1"/>
        <s v="ADAMMA_DEFOND" u="1"/>
        <s v="ALESSIAWILLSON" u="1"/>
        <s v="ANOSSOVV" u="1"/>
        <s v="ADRIANAMFTTT" u="1"/>
        <s v="ARTYRTOLSTOV" u="1"/>
        <s v="ANDY_PUCHINSKYI" u="1"/>
        <s v="ADELINE_GS" u="1"/>
        <s v="AMIRAHPOPE" u="1"/>
        <s v="AMELINAASTR" u="1"/>
        <s v="ARINA_RONDAL" u="1"/>
        <s v="ANDREASEULITZ" u="1"/>
        <s v="ANASTASSITR" u="1"/>
        <s v="ANNIEISBEAR" u="1"/>
        <s v="ARSENI_ROMAN" u="1"/>
        <s v="ALTMANBELINDA" u="1"/>
        <s v="AGNESGRHM" u="1"/>
        <s v="ALEXSVLADIMIROV" u="1"/>
        <s v="ARTEMMPLOTNIKOV" u="1"/>
        <s v="ARAGARTRR" u="1"/>
        <s v="ACAPARELLA" u="1"/>
        <s v="AMYYTHOSSMA" u="1"/>
        <s v="AKOROMYSLOVA" u="1"/>
        <s v="ANGEELISHET" u="1"/>
        <s v="ANFINRUDSADIE" u="1"/>
        <s v="AGNESSTRYT" u="1"/>
        <s v="ALEXISFOXIE" u="1"/>
        <s v="ANITABR1994" u="1"/>
        <s v="ANDREY_LISCHINA" u="1"/>
        <s v="459JISALGE" u="1"/>
        <s v="ADNNELSTR" u="1"/>
        <s v="AMYMUSICLL" u="1"/>
        <s v="ASYAARRIVE" u="1"/>
        <s v="AFIFYAMIRA1" u="1"/>
        <s v="ALISONDAVOL" u="1"/>
        <s v="ANAAISLEC" u="1"/>
        <s v="ARTHCLAUDIA" u="1"/>
        <s v="ANATOLINEMCOV" u="1"/>
        <s v="ALEXHARRITONOV" u="1"/>
        <s v="ATLANTA_ONLINE" u="1"/>
        <s v="AGITPOLK" u="1"/>
        <s v="ALEXMMYER" u="1"/>
        <s v="ANGISDOOYL" u="1"/>
        <s v="ASHLEY_KRI" u="1"/>
        <s v="ARONS_KWENDE" u="1"/>
        <s v="ALINA_9_1" u="1"/>
        <s v="AGNESMLTRT" u="1"/>
        <s v="ALESISTRTT" u="1"/>
        <s v="ANNSAM_SAM" u="1"/>
        <s v="ARIELSHINING" u="1"/>
        <s v="ARTURBURANOF" u="1"/>
        <s v="ASHLEECOLLINSS" u="1"/>
        <s v="AMBERRPAR" u="1"/>
        <s v="ANDRISNABRT" u="1"/>
        <s v="ASDIQARUSSIYA" u="1"/>
        <s v="4MYSQUAD" u="1"/>
        <s v="AMAMCAMCAM" u="1"/>
        <s v="AMIRAFERRR" u="1"/>
        <s v="APRIILDTRUT" u="1"/>
        <s v="ANDEERLWR" u="1"/>
        <s v="ALFREDBENBEN" u="1"/>
        <s v="ABALAKOVAYLIA" u="1"/>
        <s v="ALINAANTONCHIK" u="1"/>
        <s v="ANDIOSMARRTRUMP" u="1"/>
        <s v="ANDREYYKONDRAT1" u="1"/>
        <s v="ARTEMBOGACHENKO" u="1"/>
        <s v="ARABMTR" u="1"/>
        <s v="ABELLABAB" u="1"/>
        <s v="ADRGREERR" u="1"/>
        <s v="ABMERRLINS" u="1"/>
        <s v="ANATOLRMNFF" u="1"/>
        <s v="ANGELOENOUGH" u="1"/>
        <s v="ALBUQUERQUEON" u="1"/>
        <s v="ANGELIKOROTKOVA" u="1"/>
        <s v="AMELCREECH" u="1"/>
        <s v="AANTIRACIST" u="1"/>
        <s v="ANDREWHEDDD" u="1"/>
        <s v="AGAINUKRFAKE" u="1"/>
        <s v="AHMANSOUR91061" u="1"/>
        <s v="ADRIASNSS" u="1"/>
        <s v="ANTIEHARMON" u="1"/>
        <s v="ALI27HUSSEIN" u="1"/>
        <s v="ANNETTETEAL1" u="1"/>
        <s v="ARCHIEOLIVERS" u="1"/>
        <s v="ALLFORPETERSONS" u="1"/>
        <s v="ARKHIPOVICHIVNA" u="1"/>
        <s v="AHNORDYK" u="1"/>
        <s v="ALFNEWDAY" u="1"/>
        <s v="1D_NICOLE_" u="1"/>
        <s v="ABIGAILCALLME" u="1"/>
        <s v="666STEVEROGERS" u="1"/>
        <s v="ARIELLE_BROWNIN" u="1"/>
        <s v="ACTIVEMIKR" u="1"/>
        <s v="ANNIEPOSHES" u="1"/>
        <s v="ANTONFROMSPB" u="1"/>
        <s v="ANGELA_LATTKE" u="1"/>
        <s v="ANN_HANAH" u="1"/>
        <s v="ALDRICH420" u="1"/>
        <s v="ANCARICTRS" u="1"/>
        <s v="ANEELSSTRT" u="1"/>
        <s v="ARIEENSLPE" u="1"/>
        <s v="ANISSNOVOTR" u="1"/>
        <s v="ATIF_SHAIKH_ME" u="1"/>
        <s v="ANWARJAMIL22" u="1"/>
        <s v="AARON_M1TCHELL" u="1"/>
        <s v="ANITALOVEHEART" u="1"/>
        <s v="ALWAYSHUNGRYBAE" u="1"/>
        <s v="ARTEMSSFE" u="1"/>
        <s v="ALIDANILOVSKAYA" u="1"/>
        <s v="ANNY_DUBI" u="1"/>
        <s v="ABISADMASST" u="1"/>
        <s v="ANETTANOVGOROD" u="1"/>
        <s v="1488REASONS" u="1"/>
        <s v="AAASSSSSHHH" u="1"/>
        <s v="ABU_UBAIDA2" u="1"/>
        <s v="ANNAMARFINA" u="1"/>
        <s v="ANBIVALENTNAYA" u="1"/>
      </sharedItems>
    </cacheField>
    <cacheField name="content" numFmtId="0">
      <sharedItems/>
    </cacheField>
    <cacheField name="region" numFmtId="0">
      <sharedItems/>
    </cacheField>
    <cacheField name="language" numFmtId="0">
      <sharedItems/>
    </cacheField>
    <cacheField name="publish_date" numFmtId="22">
      <sharedItems containsSemiMixedTypes="0" containsNonDate="0" containsDate="1" containsString="0" minDate="2017-10-01T02:13:00" maxDate="2017-10-10T22:06:00"/>
    </cacheField>
    <cacheField name="harvested_date" numFmtId="22">
      <sharedItems containsSemiMixedTypes="0" containsNonDate="0" containsDate="1" containsString="0" minDate="2017-10-01T02:13:00" maxDate="2017-10-10T22:06:00"/>
    </cacheField>
    <cacheField name="following" numFmtId="0">
      <sharedItems containsSemiMixedTypes="0" containsString="0" containsNumber="1" containsInteger="1" minValue="1050" maxValue="1066"/>
    </cacheField>
    <cacheField name="followers" numFmtId="0">
      <sharedItems containsSemiMixedTypes="0" containsString="0" containsNumber="1" containsInteger="1" minValue="9636" maxValue="10320"/>
    </cacheField>
    <cacheField name="updates" numFmtId="0">
      <sharedItems containsSemiMixedTypes="0" containsString="0" containsNumber="1" containsInteger="1" minValue="246" maxValue="302"/>
    </cacheField>
    <cacheField name="post_type" numFmtId="0">
      <sharedItems/>
    </cacheField>
    <cacheField name="account_type" numFmtId="0">
      <sharedItems/>
    </cacheField>
    <cacheField name="retweet" numFmtId="0">
      <sharedItems containsSemiMixedTypes="0" containsString="0" containsNumber="1" containsInteger="1" minValue="0" maxValue="1"/>
    </cacheField>
    <cacheField name="account_category" numFmtId="0">
      <sharedItems count="8">
        <s v="RightTroll"/>
        <s v="HashtagGamer" u="1"/>
        <s v="LeftTroll" u="1"/>
        <s v="Commercial" u="1"/>
        <s v="Fearmonger" u="1"/>
        <s v="NonEnglish" u="1"/>
        <s v="NewsFeed" u="1"/>
        <s v="Unknown" u="1"/>
      </sharedItems>
    </cacheField>
    <cacheField name="new_june_2018" numFmtId="0">
      <sharedItems/>
    </cacheField>
    <cacheField name="alt_external_id" numFmtId="0">
      <sharedItems/>
    </cacheField>
    <cacheField name="tweet_id" numFmtId="0">
      <sharedItems/>
    </cacheField>
    <cacheField name="article_url" numFmtId="0">
      <sharedItems/>
    </cacheField>
    <cacheField name="tco1_step1" numFmtId="0">
      <sharedItems/>
    </cacheField>
    <cacheField name="tco2_step1" numFmtId="0">
      <sharedItems/>
    </cacheField>
    <cacheField name="tco3_step1" numFmtId="0">
      <sharedItems/>
    </cacheField>
    <cacheField name="x" numFmtId="0">
      <sharedItems containsNonDate="0" containsString="0" containsBlank="1"/>
    </cacheField>
    <cacheField name="Year" numFmtId="0">
      <sharedItems containsSemiMixedTypes="0" containsString="0" containsNumber="1" containsInteger="1" minValue="2017" maxValue="2017"/>
    </cacheField>
    <cacheField name="Month" numFmtId="0">
      <sharedItems containsSemiMixedTypes="0" containsString="0" containsNumber="1" containsInteger="1" minValue="10" maxValue="10"/>
    </cacheField>
    <cacheField name="Week" numFmtId="0">
      <sharedItems containsSemiMixedTypes="0" containsString="0" containsNumber="1" containsInteger="1" minValue="1" maxValue="53" count="53">
        <n v="40"/>
        <n v="41"/>
        <n v="34" u="1"/>
        <n v="13" u="1"/>
        <n v="36" u="1"/>
        <n v="38" u="1"/>
        <n v="5" u="1"/>
        <n v="14" u="1"/>
        <n v="42" u="1"/>
        <n v="15" u="1"/>
        <n v="44" u="1"/>
        <n v="2" u="1"/>
        <n v="46" u="1"/>
        <n v="6" u="1"/>
        <n v="16" u="1"/>
        <n v="48" u="1"/>
        <n v="17" u="1"/>
        <n v="50" u="1"/>
        <n v="18" u="1"/>
        <n v="52" u="1"/>
        <n v="19" u="1"/>
        <n v="7" u="1"/>
        <n v="20" u="1"/>
        <n v="33" u="1"/>
        <n v="21" u="1"/>
        <n v="35" u="1"/>
        <n v="22" u="1"/>
        <n v="37" u="1"/>
        <n v="1" u="1"/>
        <n v="23" u="1"/>
        <n v="3" u="1"/>
        <n v="8" u="1"/>
        <n v="39" u="1"/>
        <n v="24" u="1"/>
        <n v="25" u="1"/>
        <n v="9" u="1"/>
        <n v="43" u="1"/>
        <n v="26" u="1"/>
        <n v="45" u="1"/>
        <n v="27" u="1"/>
        <n v="10" u="1"/>
        <n v="47" u="1"/>
        <n v="28" u="1"/>
        <n v="49" u="1"/>
        <n v="29" u="1"/>
        <n v="11" u="1"/>
        <n v="51" u="1"/>
        <n v="30" u="1"/>
        <n v="53" u="1"/>
        <n v="31" u="1"/>
        <n v="4" u="1"/>
        <n v="12" u="1"/>
        <n v="3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">
  <r>
    <s v="906000000000000000"/>
    <x v="0"/>
    <s v="&quot;We have a sitting Democrat US Senator on trial for corruption and you've barely heard a peep from the mainstream media.&quot; ~ @nedryun https://t.co/gh6g0D1oiC"/>
    <s v="Unknown"/>
    <s v="English"/>
    <d v="2017-10-01T19:58:00"/>
    <d v="2017-10-01T19:59:00"/>
    <n v="1052"/>
    <n v="9636"/>
    <n v="253"/>
    <s v=""/>
    <s v="Right"/>
    <n v="0"/>
    <x v="0"/>
    <s v="0"/>
    <s v="905874659358453760"/>
    <s v="914580356430536707"/>
    <s v="http://twitter.com/905874659358453760/statuses/914580356430536707"/>
    <s v="https://twitter.com/10_gop/status/914580356430536707/video/1"/>
    <s v=""/>
    <s v=""/>
    <m/>
    <n v="2017"/>
    <n v="10"/>
    <x v="0"/>
  </r>
  <r>
    <s v="906000000000000000"/>
    <x v="0"/>
    <s v="Marshawn Lynch arrives to game in anti-Trump shirt. Judging by his sagging pants the shirt should say Lynch vs. belt https://t.co/mLH1i30LZZ"/>
    <s v="Unknown"/>
    <s v="English"/>
    <d v="2017-10-01T22:43:00"/>
    <d v="2017-10-01T22:43:00"/>
    <n v="1054"/>
    <n v="9637"/>
    <n v="254"/>
    <s v=""/>
    <s v="Right"/>
    <n v="0"/>
    <x v="0"/>
    <s v="0"/>
    <s v="905874659358453760"/>
    <s v="914621840496189440"/>
    <s v="http://twitter.com/905874659358453760/statuses/914621840496189440"/>
    <s v="https://twitter.com/damienwoody/status/914568524449959937/video/1"/>
    <s v=""/>
    <s v=""/>
    <m/>
    <n v="2017"/>
    <n v="10"/>
    <x v="0"/>
  </r>
  <r>
    <s v="906000000000000000"/>
    <x v="0"/>
    <s v="Daughter of fallen Navy Sailor delivers powerful monologue on anthem protests, burns her NFL packers gear.  #BoycottNFL https://t.co/qDlFBGMeag"/>
    <s v="Unknown"/>
    <s v="English"/>
    <d v="2017-10-01T22:50:00"/>
    <d v="2017-10-01T22:51:00"/>
    <n v="1054"/>
    <n v="9637"/>
    <n v="255"/>
    <s v="RETWEET"/>
    <s v="Right"/>
    <n v="1"/>
    <x v="0"/>
    <s v="0"/>
    <s v="905874659358453760"/>
    <s v="914623490375979008"/>
    <s v="http://twitter.com/905874659358453760/statuses/914623490375979008"/>
    <s v="https://twitter.com/10_gop/status/913231923715198976/video/1"/>
    <s v=""/>
    <s v=""/>
    <m/>
    <n v="2017"/>
    <n v="10"/>
    <x v="0"/>
  </r>
  <r>
    <s v="906000000000000000"/>
    <x v="0"/>
    <s v="JUST IN: President Trump dedicates Presidents Cup golf tournament trophy to the people of Florida, Texas and Puerto Rico. https://t.co/z9wVa4djAE"/>
    <s v="Unknown"/>
    <s v="English"/>
    <d v="2017-10-01T23:52:00"/>
    <d v="2017-10-01T23:52:00"/>
    <n v="1062"/>
    <n v="9642"/>
    <n v="256"/>
    <s v=""/>
    <s v="Right"/>
    <n v="0"/>
    <x v="0"/>
    <s v="0"/>
    <s v="905874659358453760"/>
    <s v="914639143690555392"/>
    <s v="http://twitter.com/905874659358453760/statuses/914639143690555392"/>
    <s v="https://twitter.com/10_gop/status/914639143690555392/video/1"/>
    <s v=""/>
    <s v=""/>
    <m/>
    <n v="2017"/>
    <n v="10"/>
    <x v="0"/>
  </r>
  <r>
    <s v="906000000000000000"/>
    <x v="0"/>
    <s v="19,000 RESPECTING our National Anthem! #StandForOurAnthemðŸ‡ºðŸ‡¸ https://t.co/czutyGaMQV"/>
    <s v="Unknown"/>
    <s v="English"/>
    <d v="2017-10-01T02:13:00"/>
    <d v="2017-10-01T02:13:00"/>
    <n v="1050"/>
    <n v="9645"/>
    <n v="246"/>
    <s v="RETWEET"/>
    <s v="Right"/>
    <n v="1"/>
    <x v="0"/>
    <s v="0"/>
    <s v="905874659358453760"/>
    <s v="914312219952861184"/>
    <s v="http://twitter.com/905874659358453760/statuses/914312219952861184"/>
    <s v="https://twitter.com/realDonaldTrump/status/914310901855129601/video/1"/>
    <s v=""/>
    <s v=""/>
    <m/>
    <n v="2017"/>
    <n v="10"/>
    <x v="0"/>
  </r>
  <r>
    <s v="906000000000000000"/>
    <x v="0"/>
    <s v="Dan Bongino: &quot;Nobody trolls liberals better than Donald Trump.&quot; Exactly!  https://t.co/AigV93aC8J"/>
    <s v="Unknown"/>
    <s v="English"/>
    <d v="2017-10-01T02:47:00"/>
    <d v="2017-10-01T02:47:00"/>
    <n v="1050"/>
    <n v="9644"/>
    <n v="247"/>
    <s v=""/>
    <s v="Right"/>
    <n v="0"/>
    <x v="0"/>
    <s v="0"/>
    <s v="905874659358453760"/>
    <s v="914320835325853696"/>
    <s v="http://twitter.com/905874659358453760/statuses/914320835325853696"/>
    <s v="https://twitter.com/FoxNews/status/914239496786505729/video/1"/>
    <s v=""/>
    <s v=""/>
    <m/>
    <n v="2017"/>
    <n v="10"/>
    <x v="0"/>
  </r>
  <r>
    <s v="906000000000000000"/>
    <x v="0"/>
    <s v="ðŸðŸðŸ https://t.co/MorL3AQW0z"/>
    <s v="Unknown"/>
    <s v="English"/>
    <d v="2017-10-01T02:48:00"/>
    <d v="2017-10-01T02:48:00"/>
    <n v="1050"/>
    <n v="9644"/>
    <n v="248"/>
    <s v="RETWEET"/>
    <s v="Right"/>
    <n v="1"/>
    <x v="0"/>
    <s v="0"/>
    <s v="905874659358453760"/>
    <s v="914321156466933760"/>
    <s v="http://twitter.com/905874659358453760/statuses/914321156466933760"/>
    <s v="https://twitter.com/Cernovich/status/914314644772270080/photo/1"/>
    <s v=""/>
    <s v=""/>
    <m/>
    <n v="2017"/>
    <n v="10"/>
    <x v="0"/>
  </r>
  <r>
    <s v="906000000000000000"/>
    <x v="0"/>
    <s v="'@SenatorMenendez @CarmenYulinCruz Doesn't matter that CNN doesn't report on your crimes. This won't change the fact that you're going down.'"/>
    <s v="Unknown"/>
    <s v="English"/>
    <d v="2017-10-01T02:52:00"/>
    <d v="2017-10-01T02:53:00"/>
    <n v="1050"/>
    <n v="9644"/>
    <n v="249"/>
    <s v=""/>
    <s v="Right"/>
    <n v="0"/>
    <x v="0"/>
    <s v="0"/>
    <s v="905874659358453760"/>
    <s v="914322215537119234"/>
    <s v="http://twitter.com/905874659358453760/statuses/914322215537119234"/>
    <s v=""/>
    <s v=""/>
    <s v=""/>
    <m/>
    <n v="2017"/>
    <n v="10"/>
    <x v="0"/>
  </r>
  <r>
    <s v="906000000000000000"/>
    <x v="0"/>
    <s v="As much as I hate promoting CNN article, here they are admitting EVERYTHING Trump said about PR relief two days ago. https://t.co/tZmSeA48oh"/>
    <s v="Unknown"/>
    <s v="English"/>
    <d v="2017-10-01T03:47:00"/>
    <d v="2017-10-01T03:47:00"/>
    <n v="1050"/>
    <n v="9646"/>
    <n v="250"/>
    <s v=""/>
    <s v="Right"/>
    <n v="0"/>
    <x v="0"/>
    <s v="0"/>
    <s v="905874659358453760"/>
    <s v="914335818503933957"/>
    <s v="http://twitter.com/905874659358453760/statuses/914335818503933957"/>
    <s v="http://www.cnn.com/2017/09/27/us/puerto-rico-aid-problem/index.html"/>
    <s v=""/>
    <s v=""/>
    <m/>
    <n v="2017"/>
    <n v="10"/>
    <x v="0"/>
  </r>
  <r>
    <s v="906000000000000000"/>
    <x v="0"/>
    <s v="After the 'genocide' remark from San Juan Mayor the narrative has changed though. @CNN fixes it's reporting constantly."/>
    <s v="Unknown"/>
    <s v="English"/>
    <d v="2017-10-01T03:51:00"/>
    <d v="2017-10-01T03:51:00"/>
    <n v="1050"/>
    <n v="9646"/>
    <n v="251"/>
    <s v=""/>
    <s v="Right"/>
    <n v="0"/>
    <x v="0"/>
    <s v="0"/>
    <s v="905874659358453760"/>
    <s v="914336862730375170"/>
    <s v="http://twitter.com/905874659358453760/statuses/914336862730375170"/>
    <s v=""/>
    <s v=""/>
    <s v=""/>
    <m/>
    <n v="2017"/>
    <n v="10"/>
    <x v="0"/>
  </r>
  <r>
    <s v="906000000000000000"/>
    <x v="0"/>
    <s v="After the 'genocide' remark from San Juan Mayor the narrative has changed though. @CNN fixes its reporting constantly."/>
    <s v="Unknown"/>
    <s v="English"/>
    <d v="2017-10-01T03:58:00"/>
    <d v="2017-10-01T03:58:00"/>
    <n v="1050"/>
    <n v="9646"/>
    <n v="251"/>
    <s v=""/>
    <s v="Right"/>
    <n v="0"/>
    <x v="0"/>
    <s v="0"/>
    <s v="905874659358453760"/>
    <s v="914338590313902080"/>
    <s v="http://twitter.com/905874659358453760/statuses/914338590313902080"/>
    <s v=""/>
    <s v=""/>
    <s v=""/>
    <m/>
    <n v="2017"/>
    <n v="10"/>
    <x v="0"/>
  </r>
  <r>
    <s v="906000000000000000"/>
    <x v="0"/>
    <s v="'@thehill Why won't she apologize to us for lying?'"/>
    <s v="Unknown"/>
    <s v="English"/>
    <d v="2017-10-01T04:11:00"/>
    <d v="2017-10-01T04:12:00"/>
    <n v="1050"/>
    <n v="9645"/>
    <n v="252"/>
    <s v=""/>
    <s v="Right"/>
    <n v="0"/>
    <x v="0"/>
    <s v="0"/>
    <s v="905874659358453760"/>
    <s v="914342060437753857"/>
    <s v="http://twitter.com/905874659358453760/statuses/914342060437753857"/>
    <s v=""/>
    <s v=""/>
    <s v=""/>
    <m/>
    <n v="2017"/>
    <n v="10"/>
    <x v="0"/>
  </r>
  <r>
    <s v="906000000000000000"/>
    <x v="0"/>
    <s v="Sarah Sanders destroys NBC reporter: &quot;Trump made a joke, maybe you guys should get a sense of humor.&quot; https://t.co/IceJ8acE3G"/>
    <s v="Unknown"/>
    <s v="English"/>
    <d v="2017-10-10T20:57:00"/>
    <d v="2017-10-10T20:57:00"/>
    <n v="1066"/>
    <n v="10319"/>
    <n v="301"/>
    <s v=""/>
    <s v="Right"/>
    <n v="0"/>
    <x v="0"/>
    <s v="0"/>
    <s v="905874659358453760"/>
    <s v="917856606729236480"/>
    <s v="http://twitter.com/905874659358453760/statuses/917856606729236480"/>
    <s v="https://twitter.com/10_gop/status/917856606729236480/video/1"/>
    <s v=""/>
    <s v=""/>
    <m/>
    <n v="2017"/>
    <n v="10"/>
    <x v="1"/>
  </r>
  <r>
    <s v="906000000000000000"/>
    <x v="0"/>
    <s v="Hi @MichelleObama, remember when you said Weinstein is a &quot;wonderful human being, a good friend and just a powerhouse.&quot;  Do you disavow? https://t.co/pxNaJhhhRc"/>
    <s v="Unknown"/>
    <s v="English"/>
    <d v="2017-10-10T21:59:00"/>
    <d v="2017-10-10T21:59:00"/>
    <n v="1066"/>
    <n v="10320"/>
    <n v="302"/>
    <s v=""/>
    <s v="Right"/>
    <n v="0"/>
    <x v="0"/>
    <s v="0"/>
    <s v="905874659358453760"/>
    <s v="917872218067161090"/>
    <s v="http://twitter.com/905874659358453760/statuses/917872218067161090"/>
    <s v="https://twitter.com/10_gop/status/917872218067161090/video/1"/>
    <s v=""/>
    <s v=""/>
    <m/>
    <n v="2017"/>
    <n v="10"/>
    <x v="1"/>
  </r>
  <r>
    <s v="906000000000000000"/>
    <x v="0"/>
    <s v="Hi @MichelleObama, remember when you praised Harvey Weinstein as 'a wonderful human being, a good friend and a powerhouse.&quot;  Do you disavow? https://t.co/sRc1TK78AW"/>
    <s v="Unknown"/>
    <s v="English"/>
    <d v="2017-10-10T22:06:00"/>
    <d v="2017-10-10T22:06:00"/>
    <n v="1066"/>
    <n v="10320"/>
    <n v="302"/>
    <s v=""/>
    <s v="Right"/>
    <n v="0"/>
    <x v="0"/>
    <s v="0"/>
    <s v="905874659358453760"/>
    <s v="917873988952645632"/>
    <s v="http://twitter.com/905874659358453760/statuses/917873988952645632"/>
    <s v="https://twitter.com/10_gop/status/917873988952645632/video/1"/>
    <s v=""/>
    <s v=""/>
    <m/>
    <n v="2017"/>
    <n v="1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D6" firstHeaderRow="1" firstDataRow="2" firstDataCol="1"/>
  <pivotFields count="25">
    <pivotField dataField="1" showAll="0"/>
    <pivotField axis="axisRow" showAll="0">
      <items count="299">
        <item x="0"/>
        <item m="1" x="293"/>
        <item m="1" x="269"/>
        <item m="1" x="170"/>
        <item m="1" x="65"/>
        <item m="1" x="117"/>
        <item m="1" x="210"/>
        <item m="1" x="47"/>
        <item m="1" x="141"/>
        <item m="1" x="236"/>
        <item m="1" x="52"/>
        <item m="1" x="64"/>
        <item m="1" x="271"/>
        <item m="1" x="92"/>
        <item m="1" x="157"/>
        <item m="1" x="294"/>
        <item m="1" x="177"/>
        <item m="1" x="56"/>
        <item m="1" x="164"/>
        <item m="1" x="256"/>
        <item m="1" x="136"/>
        <item m="1" x="285"/>
        <item m="1" x="242"/>
        <item m="1" x="99"/>
        <item m="1" x="82"/>
        <item m="1" x="248"/>
        <item m="1" x="270"/>
        <item m="1" x="130"/>
        <item m="1" x="116"/>
        <item m="1" x="291"/>
        <item m="1" x="250"/>
        <item m="1" x="48"/>
        <item m="1" x="36"/>
        <item m="1" x="106"/>
        <item m="1" x="295"/>
        <item m="1" x="176"/>
        <item m="1" x="201"/>
        <item m="1" x="18"/>
        <item m="1" x="21"/>
        <item m="1" x="273"/>
        <item m="1" x="69"/>
        <item m="1" x="90"/>
        <item m="1" x="182"/>
        <item m="1" x="5"/>
        <item m="1" x="1"/>
        <item m="1" x="9"/>
        <item m="1" x="167"/>
        <item m="1" x="188"/>
        <item m="1" x="98"/>
        <item m="1" x="96"/>
        <item m="1" x="97"/>
        <item m="1" x="125"/>
        <item m="1" x="211"/>
        <item m="1" x="249"/>
        <item m="1" x="185"/>
        <item m="1" x="260"/>
        <item m="1" x="39"/>
        <item m="1" x="126"/>
        <item m="1" x="165"/>
        <item m="1" x="101"/>
        <item m="1" x="214"/>
        <item m="1" x="91"/>
        <item m="1" x="22"/>
        <item m="1" x="37"/>
        <item m="1" x="83"/>
        <item m="1" x="86"/>
        <item m="1" x="258"/>
        <item m="1" x="46"/>
        <item m="1" x="221"/>
        <item m="1" x="197"/>
        <item m="1" x="227"/>
        <item m="1" x="206"/>
        <item m="1" x="163"/>
        <item m="1" x="27"/>
        <item m="1" x="154"/>
        <item m="1" x="149"/>
        <item m="1" x="259"/>
        <item m="1" x="267"/>
        <item m="1" x="68"/>
        <item m="1" x="40"/>
        <item m="1" x="171"/>
        <item m="1" x="203"/>
        <item m="1" x="75"/>
        <item m="1" x="7"/>
        <item m="1" x="2"/>
        <item m="1" x="51"/>
        <item m="1" x="161"/>
        <item m="1" x="74"/>
        <item m="1" x="253"/>
        <item m="1" x="278"/>
        <item m="1" x="181"/>
        <item m="1" x="23"/>
        <item m="1" x="84"/>
        <item m="1" x="109"/>
        <item m="1" x="50"/>
        <item m="1" x="110"/>
        <item m="1" x="228"/>
        <item m="1" x="183"/>
        <item m="1" x="127"/>
        <item m="1" x="219"/>
        <item m="1" x="207"/>
        <item m="1" x="16"/>
        <item m="1" x="222"/>
        <item m="1" x="198"/>
        <item m="1" x="135"/>
        <item m="1" x="102"/>
        <item m="1" x="88"/>
        <item m="1" x="112"/>
        <item m="1" x="70"/>
        <item m="1" x="268"/>
        <item m="1" x="241"/>
        <item m="1" x="13"/>
        <item m="1" x="262"/>
        <item m="1" x="289"/>
        <item m="1" x="57"/>
        <item m="1" x="243"/>
        <item m="1" x="32"/>
        <item m="1" x="17"/>
        <item m="1" x="143"/>
        <item m="1" x="226"/>
        <item m="1" x="42"/>
        <item m="1" x="215"/>
        <item m="1" x="89"/>
        <item m="1" x="94"/>
        <item m="1" x="166"/>
        <item m="1" x="265"/>
        <item m="1" x="115"/>
        <item m="1" x="59"/>
        <item m="1" x="196"/>
        <item m="1" x="151"/>
        <item m="1" x="137"/>
        <item m="1" x="287"/>
        <item m="1" x="123"/>
        <item m="1" x="144"/>
        <item m="1" x="122"/>
        <item m="1" x="62"/>
        <item m="1" x="237"/>
        <item m="1" x="114"/>
        <item m="1" x="44"/>
        <item m="1" x="133"/>
        <item m="1" x="3"/>
        <item m="1" x="4"/>
        <item m="1" x="233"/>
        <item m="1" x="146"/>
        <item m="1" x="255"/>
        <item m="1" x="178"/>
        <item m="1" x="190"/>
        <item m="1" x="104"/>
        <item m="1" x="145"/>
        <item m="1" x="238"/>
        <item m="1" x="189"/>
        <item m="1" x="103"/>
        <item m="1" x="168"/>
        <item m="1" x="150"/>
        <item m="1" x="212"/>
        <item m="1" x="25"/>
        <item m="1" x="128"/>
        <item m="1" x="202"/>
        <item m="1" x="216"/>
        <item m="1" x="152"/>
        <item m="1" x="55"/>
        <item m="1" x="142"/>
        <item m="1" x="193"/>
        <item m="1" x="218"/>
        <item m="1" x="251"/>
        <item m="1" x="297"/>
        <item m="1" x="279"/>
        <item m="1" x="240"/>
        <item m="1" x="14"/>
        <item m="1" x="244"/>
        <item m="1" x="192"/>
        <item m="1" x="12"/>
        <item m="1" x="80"/>
        <item m="1" x="132"/>
        <item m="1" x="257"/>
        <item m="1" x="245"/>
        <item m="1" x="209"/>
        <item m="1" x="234"/>
        <item m="1" x="31"/>
        <item m="1" x="124"/>
        <item m="1" x="95"/>
        <item m="1" x="72"/>
        <item m="1" x="10"/>
        <item m="1" x="108"/>
        <item m="1" x="140"/>
        <item m="1" x="105"/>
        <item m="1" x="29"/>
        <item m="1" x="187"/>
        <item m="1" x="280"/>
        <item m="1" x="292"/>
        <item m="1" x="205"/>
        <item m="1" x="45"/>
        <item m="1" x="61"/>
        <item m="1" x="204"/>
        <item m="1" x="180"/>
        <item m="1" x="79"/>
        <item m="1" x="276"/>
        <item m="1" x="28"/>
        <item m="1" x="254"/>
        <item m="1" x="158"/>
        <item m="1" x="159"/>
        <item m="1" x="113"/>
        <item m="1" x="173"/>
        <item m="1" x="252"/>
        <item m="1" x="223"/>
        <item m="1" x="49"/>
        <item m="1" x="54"/>
        <item m="1" x="53"/>
        <item m="1" x="107"/>
        <item m="1" x="93"/>
        <item m="1" x="282"/>
        <item m="1" x="208"/>
        <item m="1" x="286"/>
        <item m="1" x="160"/>
        <item m="1" x="81"/>
        <item m="1" x="73"/>
        <item m="1" x="11"/>
        <item m="1" x="296"/>
        <item m="1" x="162"/>
        <item m="1" x="26"/>
        <item m="1" x="131"/>
        <item m="1" x="263"/>
        <item m="1" x="194"/>
        <item m="1" x="274"/>
        <item m="1" x="20"/>
        <item m="1" x="229"/>
        <item m="1" x="290"/>
        <item m="1" x="277"/>
        <item m="1" x="119"/>
        <item m="1" x="172"/>
        <item m="1" x="184"/>
        <item m="1" x="120"/>
        <item m="1" x="100"/>
        <item m="1" x="121"/>
        <item m="1" x="261"/>
        <item m="1" x="275"/>
        <item m="1" x="41"/>
        <item m="1" x="175"/>
        <item m="1" x="85"/>
        <item m="1" x="34"/>
        <item m="1" x="174"/>
        <item m="1" x="118"/>
        <item m="1" x="15"/>
        <item m="1" x="284"/>
        <item m="1" x="71"/>
        <item m="1" x="33"/>
        <item m="1" x="155"/>
        <item m="1" x="76"/>
        <item m="1" x="239"/>
        <item m="1" x="147"/>
        <item m="1" x="60"/>
        <item m="1" x="247"/>
        <item m="1" x="200"/>
        <item m="1" x="264"/>
        <item m="1" x="8"/>
        <item m="1" x="43"/>
        <item m="1" x="87"/>
        <item m="1" x="67"/>
        <item m="1" x="281"/>
        <item m="1" x="272"/>
        <item m="1" x="230"/>
        <item m="1" x="191"/>
        <item m="1" x="19"/>
        <item m="1" x="6"/>
        <item m="1" x="63"/>
        <item m="1" x="266"/>
        <item m="1" x="139"/>
        <item m="1" x="24"/>
        <item m="1" x="156"/>
        <item m="1" x="153"/>
        <item m="1" x="134"/>
        <item m="1" x="225"/>
        <item m="1" x="195"/>
        <item m="1" x="30"/>
        <item m="1" x="246"/>
        <item m="1" x="199"/>
        <item m="1" x="288"/>
        <item m="1" x="66"/>
        <item m="1" x="217"/>
        <item m="1" x="111"/>
        <item m="1" x="231"/>
        <item m="1" x="77"/>
        <item m="1" x="186"/>
        <item m="1" x="148"/>
        <item m="1" x="58"/>
        <item m="1" x="235"/>
        <item m="1" x="232"/>
        <item m="1" x="35"/>
        <item m="1" x="78"/>
        <item m="1" x="224"/>
        <item m="1" x="169"/>
        <item m="1" x="138"/>
        <item m="1" x="213"/>
        <item m="1" x="283"/>
        <item m="1" x="220"/>
        <item m="1" x="129"/>
        <item m="1" x="38"/>
        <item m="1" x="179"/>
        <item t="default"/>
      </items>
    </pivotField>
    <pivotField showAll="0"/>
    <pivotField showAll="0"/>
    <pivotField showAll="0"/>
    <pivotField numFmtId="22" showAll="0"/>
    <pivotField numFmtId="22" showAll="0"/>
    <pivotField showAll="0"/>
    <pivotField showAll="0"/>
    <pivotField showAll="0"/>
    <pivotField showAll="0"/>
    <pivotField showAll="0"/>
    <pivotField showAll="0"/>
    <pivotField axis="axisRow" showAll="0">
      <items count="9">
        <item sd="0" x="0"/>
        <item sd="0" m="1" x="5"/>
        <item sd="0" m="1" x="4"/>
        <item sd="0" m="1" x="2"/>
        <item sd="0" m="1" x="7"/>
        <item sd="0" m="1" x="1"/>
        <item sd="0" m="1" x="6"/>
        <item sd="0"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 sortType="ascending">
      <items count="54">
        <item m="1" x="28"/>
        <item m="1" x="11"/>
        <item m="1" x="30"/>
        <item m="1" x="50"/>
        <item m="1" x="6"/>
        <item m="1" x="13"/>
        <item m="1" x="21"/>
        <item m="1" x="31"/>
        <item m="1" x="35"/>
        <item m="1" x="40"/>
        <item m="1" x="45"/>
        <item m="1" x="51"/>
        <item m="1" x="3"/>
        <item m="1" x="7"/>
        <item m="1" x="9"/>
        <item m="1" x="14"/>
        <item m="1" x="16"/>
        <item m="1" x="18"/>
        <item m="1" x="20"/>
        <item m="1" x="22"/>
        <item m="1" x="24"/>
        <item m="1" x="26"/>
        <item m="1" x="29"/>
        <item m="1" x="33"/>
        <item m="1" x="34"/>
        <item m="1" x="37"/>
        <item m="1" x="39"/>
        <item m="1" x="42"/>
        <item m="1" x="44"/>
        <item m="1" x="47"/>
        <item m="1" x="49"/>
        <item m="1" x="52"/>
        <item m="1" x="23"/>
        <item m="1" x="2"/>
        <item m="1" x="25"/>
        <item m="1" x="4"/>
        <item m="1" x="27"/>
        <item m="1" x="5"/>
        <item m="1" x="32"/>
        <item x="0"/>
        <item x="1"/>
        <item m="1" x="8"/>
        <item m="1" x="36"/>
        <item m="1" x="10"/>
        <item m="1" x="38"/>
        <item m="1" x="12"/>
        <item m="1" x="41"/>
        <item m="1" x="15"/>
        <item m="1" x="43"/>
        <item m="1" x="17"/>
        <item m="1" x="46"/>
        <item m="1" x="19"/>
        <item m="1" x="48"/>
        <item t="default"/>
      </items>
    </pivotField>
  </pivotFields>
  <rowFields count="2">
    <field x="13"/>
    <field x="1"/>
  </rowFields>
  <rowItems count="2">
    <i>
      <x/>
    </i>
    <i t="grand">
      <x/>
    </i>
  </rowItems>
  <colFields count="1">
    <field x="24"/>
  </colFields>
  <colItems count="3">
    <i>
      <x v="39"/>
    </i>
    <i>
      <x v="40"/>
    </i>
    <i t="grand">
      <x/>
    </i>
  </colItems>
  <dataFields count="1">
    <dataField name="Count of external_author_id" fld="0" subtotal="count" baseField="0" baseItem="0"/>
  </dataField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22">
    <queryTableFields count="21">
      <queryTableField id="1" name="external_author_id" tableColumnId="169"/>
      <queryTableField id="2" name="author" tableColumnId="170"/>
      <queryTableField id="3" name="content" tableColumnId="171"/>
      <queryTableField id="4" name="region" tableColumnId="172"/>
      <queryTableField id="5" name="language" tableColumnId="173"/>
      <queryTableField id="6" name="publish_date" tableColumnId="174"/>
      <queryTableField id="7" name="harvested_date" tableColumnId="175"/>
      <queryTableField id="8" name="following" tableColumnId="176"/>
      <queryTableField id="9" name="followers" tableColumnId="177"/>
      <queryTableField id="10" name="updates" tableColumnId="178"/>
      <queryTableField id="11" name="post_type" tableColumnId="179"/>
      <queryTableField id="12" name="account_type" tableColumnId="180"/>
      <queryTableField id="13" name="retweet" tableColumnId="181"/>
      <queryTableField id="14" name="account_category" tableColumnId="182"/>
      <queryTableField id="15" name="new_june_2018" tableColumnId="183"/>
      <queryTableField id="16" name="alt_external_id" tableColumnId="184"/>
      <queryTableField id="17" name="tweet_id" tableColumnId="185"/>
      <queryTableField id="18" name="article_url" tableColumnId="186"/>
      <queryTableField id="19" name="tco1_step1" tableColumnId="187"/>
      <queryTableField id="20" name="tco2_step1" tableColumnId="188"/>
      <queryTableField id="21" name="tco3_step1" tableColumnId="18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tblData" displayName="tblData" ref="A1:Y16" totalsRowShown="0">
  <autoFilter ref="A1:Y16"/>
  <tableColumns count="25">
    <tableColumn id="1" name="external_author_id" dataDxfId="20"/>
    <tableColumn id="2" name="author" dataDxfId="19"/>
    <tableColumn id="3" name="content" dataDxfId="18"/>
    <tableColumn id="4" name="region" dataDxfId="17"/>
    <tableColumn id="5" name="language" dataDxfId="16"/>
    <tableColumn id="6" name="publish_date" dataDxfId="15"/>
    <tableColumn id="7" name="harvested_date" dataDxfId="14"/>
    <tableColumn id="8" name="following" dataDxfId="13"/>
    <tableColumn id="9" name="followers" dataDxfId="12"/>
    <tableColumn id="10" name="updates" dataDxfId="11"/>
    <tableColumn id="11" name="post_type" dataDxfId="10"/>
    <tableColumn id="12" name="account_type" dataDxfId="9"/>
    <tableColumn id="13" name="retweet" dataDxfId="8"/>
    <tableColumn id="14" name="account_category" dataDxfId="7"/>
    <tableColumn id="15" name="new_june_2018" dataDxfId="6"/>
    <tableColumn id="16" name="alt_external_id" dataDxfId="5"/>
    <tableColumn id="17" name="tweet_id" dataDxfId="4"/>
    <tableColumn id="18" name="article_url" dataDxfId="3"/>
    <tableColumn id="19" name="tco1_step1" dataDxfId="2"/>
    <tableColumn id="20" name="tco2_step1" dataDxfId="1"/>
    <tableColumn id="21" name="tco3_step1" dataDxfId="0"/>
    <tableColumn id="22" name="x"/>
    <tableColumn id="23" name="Year">
      <calculatedColumnFormula>YEAR(tblData[publish_date])</calculatedColumnFormula>
    </tableColumn>
    <tableColumn id="24" name="Month">
      <calculatedColumnFormula>MONTH(tblData[publish_date])</calculatedColumnFormula>
    </tableColumn>
    <tableColumn id="25" name="Week">
      <calculatedColumnFormula>WEEKNUM(TRUNC(tblData[publish_date]))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blImport" displayName="tblImport" ref="A1:U16" tableType="queryTable" totalsRowShown="0" headerRowDxfId="43" dataDxfId="42">
  <autoFilter ref="A1:U16"/>
  <tableColumns count="21">
    <tableColumn id="169" uniqueName="169" name="external_author_id" queryTableFieldId="1" dataDxfId="41"/>
    <tableColumn id="170" uniqueName="170" name="author" queryTableFieldId="2" dataDxfId="40"/>
    <tableColumn id="171" uniqueName="171" name="content" queryTableFieldId="3" dataDxfId="39"/>
    <tableColumn id="172" uniqueName="172" name="region" queryTableFieldId="4" dataDxfId="38"/>
    <tableColumn id="173" uniqueName="173" name="language" queryTableFieldId="5" dataDxfId="37"/>
    <tableColumn id="174" uniqueName="174" name="publish_date" queryTableFieldId="6" dataDxfId="36"/>
    <tableColumn id="175" uniqueName="175" name="harvested_date" queryTableFieldId="7" dataDxfId="35"/>
    <tableColumn id="176" uniqueName="176" name="following" queryTableFieldId="8" dataDxfId="34"/>
    <tableColumn id="177" uniqueName="177" name="followers" queryTableFieldId="9" dataDxfId="33"/>
    <tableColumn id="178" uniqueName="178" name="updates" queryTableFieldId="10" dataDxfId="32"/>
    <tableColumn id="179" uniqueName="179" name="post_type" queryTableFieldId="11" dataDxfId="31"/>
    <tableColumn id="180" uniqueName="180" name="account_type" queryTableFieldId="12" dataDxfId="30"/>
    <tableColumn id="181" uniqueName="181" name="retweet" queryTableFieldId="13" dataDxfId="29"/>
    <tableColumn id="182" uniqueName="182" name="account_category" queryTableFieldId="14" dataDxfId="28"/>
    <tableColumn id="183" uniqueName="183" name="new_june_2018" queryTableFieldId="15" dataDxfId="27"/>
    <tableColumn id="184" uniqueName="184" name="alt_external_id" queryTableFieldId="16" dataDxfId="26"/>
    <tableColumn id="185" uniqueName="185" name="tweet_id" queryTableFieldId="17" dataDxfId="25"/>
    <tableColumn id="186" uniqueName="186" name="article_url" queryTableFieldId="18" dataDxfId="24"/>
    <tableColumn id="187" uniqueName="187" name="tco1_step1" queryTableFieldId="19" dataDxfId="23"/>
    <tableColumn id="188" uniqueName="188" name="tco2_step1" queryTableFieldId="20" dataDxfId="22"/>
    <tableColumn id="189" uniqueName="189" name="tco3_step1" queryTableFieldId="21" dataDxfId="21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D6"/>
  <sheetViews>
    <sheetView workbookViewId="0">
      <selection activeCell="I8" sqref="I8"/>
    </sheetView>
  </sheetViews>
  <sheetFormatPr defaultRowHeight="15" x14ac:dyDescent="0.25"/>
  <cols>
    <col min="1" max="1" width="26.5703125" bestFit="1" customWidth="1"/>
    <col min="2" max="2" width="16.28515625" bestFit="1" customWidth="1"/>
    <col min="3" max="3" width="3" customWidth="1"/>
    <col min="4" max="4" width="11.28515625" bestFit="1" customWidth="1"/>
    <col min="5" max="30" width="5" bestFit="1" customWidth="1"/>
    <col min="31" max="31" width="6" bestFit="1" customWidth="1"/>
    <col min="32" max="33" width="5" bestFit="1" customWidth="1"/>
    <col min="34" max="34" width="6" bestFit="1" customWidth="1"/>
    <col min="35" max="40" width="5" bestFit="1" customWidth="1"/>
    <col min="41" max="41" width="4" bestFit="1" customWidth="1"/>
    <col min="42" max="54" width="5" bestFit="1" customWidth="1"/>
    <col min="55" max="55" width="11.28515625" bestFit="1" customWidth="1"/>
  </cols>
  <sheetData>
    <row r="3" spans="1:4" x14ac:dyDescent="0.25">
      <c r="A3" s="4" t="s">
        <v>94</v>
      </c>
      <c r="B3" s="4" t="s">
        <v>93</v>
      </c>
    </row>
    <row r="4" spans="1:4" x14ac:dyDescent="0.25">
      <c r="A4" s="4" t="s">
        <v>91</v>
      </c>
      <c r="B4">
        <v>40</v>
      </c>
      <c r="C4">
        <v>41</v>
      </c>
      <c r="D4" t="s">
        <v>92</v>
      </c>
    </row>
    <row r="5" spans="1:4" x14ac:dyDescent="0.25">
      <c r="A5" s="5" t="s">
        <v>28</v>
      </c>
      <c r="B5" s="6">
        <v>12</v>
      </c>
      <c r="C5" s="6">
        <v>3</v>
      </c>
      <c r="D5" s="6">
        <v>15</v>
      </c>
    </row>
    <row r="6" spans="1:4" x14ac:dyDescent="0.25">
      <c r="A6" s="5" t="s">
        <v>92</v>
      </c>
      <c r="B6" s="6">
        <v>12</v>
      </c>
      <c r="C6" s="6">
        <v>3</v>
      </c>
      <c r="D6" s="6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6"/>
  <sheetViews>
    <sheetView tabSelected="1" zoomScale="85" zoomScaleNormal="85" workbookViewId="0">
      <selection activeCell="F24" sqref="F24"/>
    </sheetView>
  </sheetViews>
  <sheetFormatPr defaultRowHeight="15" x14ac:dyDescent="0.25"/>
  <cols>
    <col min="1" max="1" width="20.140625" customWidth="1"/>
    <col min="3" max="3" width="10" customWidth="1"/>
    <col min="5" max="5" width="11.140625" customWidth="1"/>
    <col min="6" max="6" width="16.140625" bestFit="1" customWidth="1"/>
    <col min="7" max="7" width="17" customWidth="1"/>
    <col min="8" max="9" width="11.5703125" customWidth="1"/>
    <col min="10" max="10" width="10.28515625" customWidth="1"/>
    <col min="11" max="11" width="12" customWidth="1"/>
    <col min="12" max="12" width="15" customWidth="1"/>
    <col min="13" max="13" width="10.28515625" customWidth="1"/>
    <col min="14" max="14" width="18.5703125" customWidth="1"/>
    <col min="15" max="15" width="17" customWidth="1"/>
    <col min="16" max="16" width="16.5703125" customWidth="1"/>
    <col min="17" max="17" width="11.140625" customWidth="1"/>
    <col min="18" max="18" width="12.140625" customWidth="1"/>
    <col min="19" max="21" width="12.7109375" customWidth="1"/>
    <col min="25" max="25" width="10.85546875" customWidth="1"/>
  </cols>
  <sheetData>
    <row r="1" spans="1:2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s="7" t="s">
        <v>87</v>
      </c>
      <c r="W1" s="7" t="s">
        <v>88</v>
      </c>
      <c r="X1" s="7" t="s">
        <v>89</v>
      </c>
      <c r="Y1" s="7" t="s">
        <v>90</v>
      </c>
    </row>
    <row r="2" spans="1:25" x14ac:dyDescent="0.25">
      <c r="A2" s="3" t="s">
        <v>21</v>
      </c>
      <c r="B2" s="3" t="s">
        <v>22</v>
      </c>
      <c r="C2" s="3" t="s">
        <v>23</v>
      </c>
      <c r="D2" s="3" t="s">
        <v>24</v>
      </c>
      <c r="E2" s="3" t="s">
        <v>25</v>
      </c>
      <c r="F2" s="1">
        <v>43009.831944444442</v>
      </c>
      <c r="G2" s="1">
        <v>43009.832638888889</v>
      </c>
      <c r="H2" s="3">
        <v>1052</v>
      </c>
      <c r="I2" s="3">
        <v>9636</v>
      </c>
      <c r="J2" s="3">
        <v>253</v>
      </c>
      <c r="K2" s="3" t="s">
        <v>26</v>
      </c>
      <c r="L2" s="3" t="s">
        <v>27</v>
      </c>
      <c r="M2" s="3">
        <v>0</v>
      </c>
      <c r="N2" s="3" t="s">
        <v>28</v>
      </c>
      <c r="O2" s="3" t="s">
        <v>29</v>
      </c>
      <c r="P2" s="3" t="s">
        <v>30</v>
      </c>
      <c r="Q2" s="3" t="s">
        <v>31</v>
      </c>
      <c r="R2" s="3" t="s">
        <v>32</v>
      </c>
      <c r="S2" s="3" t="s">
        <v>33</v>
      </c>
      <c r="T2" s="3" t="s">
        <v>26</v>
      </c>
      <c r="U2" s="2" t="s">
        <v>26</v>
      </c>
      <c r="W2">
        <f>YEAR(tblData[publish_date])</f>
        <v>2017</v>
      </c>
      <c r="X2">
        <f>MONTH(tblData[publish_date])</f>
        <v>10</v>
      </c>
      <c r="Y2">
        <f>WEEKNUM(TRUNC(tblData[publish_date]))</f>
        <v>40</v>
      </c>
    </row>
    <row r="3" spans="1:25" x14ac:dyDescent="0.25">
      <c r="A3" s="3" t="s">
        <v>21</v>
      </c>
      <c r="B3" s="3" t="s">
        <v>22</v>
      </c>
      <c r="C3" s="3" t="s">
        <v>34</v>
      </c>
      <c r="D3" s="3" t="s">
        <v>24</v>
      </c>
      <c r="E3" s="3" t="s">
        <v>25</v>
      </c>
      <c r="F3" s="1">
        <v>43009.946527777778</v>
      </c>
      <c r="G3" s="1">
        <v>43009.946527777778</v>
      </c>
      <c r="H3" s="3">
        <v>1054</v>
      </c>
      <c r="I3" s="3">
        <v>9637</v>
      </c>
      <c r="J3" s="3">
        <v>254</v>
      </c>
      <c r="K3" s="3" t="s">
        <v>26</v>
      </c>
      <c r="L3" s="3" t="s">
        <v>27</v>
      </c>
      <c r="M3" s="3">
        <v>0</v>
      </c>
      <c r="N3" s="3" t="s">
        <v>28</v>
      </c>
      <c r="O3" s="3" t="s">
        <v>29</v>
      </c>
      <c r="P3" s="3" t="s">
        <v>30</v>
      </c>
      <c r="Q3" s="3" t="s">
        <v>35</v>
      </c>
      <c r="R3" s="3" t="s">
        <v>36</v>
      </c>
      <c r="S3" s="3" t="s">
        <v>37</v>
      </c>
      <c r="T3" s="3" t="s">
        <v>26</v>
      </c>
      <c r="U3" s="2" t="s">
        <v>26</v>
      </c>
      <c r="W3">
        <f>YEAR(tblData[publish_date])</f>
        <v>2017</v>
      </c>
      <c r="X3">
        <f>MONTH(tblData[publish_date])</f>
        <v>10</v>
      </c>
      <c r="Y3">
        <f>WEEKNUM(TRUNC(tblData[publish_date]))</f>
        <v>40</v>
      </c>
    </row>
    <row r="4" spans="1:25" x14ac:dyDescent="0.25">
      <c r="A4" s="3" t="s">
        <v>21</v>
      </c>
      <c r="B4" s="3" t="s">
        <v>22</v>
      </c>
      <c r="C4" s="3" t="s">
        <v>38</v>
      </c>
      <c r="D4" s="3" t="s">
        <v>24</v>
      </c>
      <c r="E4" s="3" t="s">
        <v>25</v>
      </c>
      <c r="F4" s="1">
        <v>43009.951388888891</v>
      </c>
      <c r="G4" s="1">
        <v>43009.95208333333</v>
      </c>
      <c r="H4" s="3">
        <v>1054</v>
      </c>
      <c r="I4" s="3">
        <v>9637</v>
      </c>
      <c r="J4" s="3">
        <v>255</v>
      </c>
      <c r="K4" s="3" t="s">
        <v>39</v>
      </c>
      <c r="L4" s="3" t="s">
        <v>27</v>
      </c>
      <c r="M4" s="3">
        <v>1</v>
      </c>
      <c r="N4" s="3" t="s">
        <v>28</v>
      </c>
      <c r="O4" s="3" t="s">
        <v>29</v>
      </c>
      <c r="P4" s="3" t="s">
        <v>30</v>
      </c>
      <c r="Q4" s="3" t="s">
        <v>40</v>
      </c>
      <c r="R4" s="3" t="s">
        <v>41</v>
      </c>
      <c r="S4" s="3" t="s">
        <v>42</v>
      </c>
      <c r="T4" s="3" t="s">
        <v>26</v>
      </c>
      <c r="U4" s="2" t="s">
        <v>26</v>
      </c>
      <c r="W4">
        <f>YEAR(tblData[publish_date])</f>
        <v>2017</v>
      </c>
      <c r="X4">
        <f>MONTH(tblData[publish_date])</f>
        <v>10</v>
      </c>
      <c r="Y4">
        <f>WEEKNUM(TRUNC(tblData[publish_date]))</f>
        <v>40</v>
      </c>
    </row>
    <row r="5" spans="1:25" x14ac:dyDescent="0.25">
      <c r="A5" s="3" t="s">
        <v>21</v>
      </c>
      <c r="B5" s="3" t="s">
        <v>22</v>
      </c>
      <c r="C5" s="3" t="s">
        <v>43</v>
      </c>
      <c r="D5" s="3" t="s">
        <v>24</v>
      </c>
      <c r="E5" s="3" t="s">
        <v>25</v>
      </c>
      <c r="F5" s="1">
        <v>43009.994444444441</v>
      </c>
      <c r="G5" s="1">
        <v>43009.994444444441</v>
      </c>
      <c r="H5" s="3">
        <v>1062</v>
      </c>
      <c r="I5" s="3">
        <v>9642</v>
      </c>
      <c r="J5" s="3">
        <v>256</v>
      </c>
      <c r="K5" s="3" t="s">
        <v>26</v>
      </c>
      <c r="L5" s="3" t="s">
        <v>27</v>
      </c>
      <c r="M5" s="3">
        <v>0</v>
      </c>
      <c r="N5" s="3" t="s">
        <v>28</v>
      </c>
      <c r="O5" s="3" t="s">
        <v>29</v>
      </c>
      <c r="P5" s="3" t="s">
        <v>30</v>
      </c>
      <c r="Q5" s="3" t="s">
        <v>44</v>
      </c>
      <c r="R5" s="3" t="s">
        <v>45</v>
      </c>
      <c r="S5" s="3" t="s">
        <v>46</v>
      </c>
      <c r="T5" s="3" t="s">
        <v>26</v>
      </c>
      <c r="U5" s="2" t="s">
        <v>26</v>
      </c>
      <c r="W5">
        <f>YEAR(tblData[publish_date])</f>
        <v>2017</v>
      </c>
      <c r="X5">
        <f>MONTH(tblData[publish_date])</f>
        <v>10</v>
      </c>
      <c r="Y5">
        <f>WEEKNUM(TRUNC(tblData[publish_date]))</f>
        <v>40</v>
      </c>
    </row>
    <row r="6" spans="1:25" x14ac:dyDescent="0.25">
      <c r="A6" s="3" t="s">
        <v>21</v>
      </c>
      <c r="B6" s="3" t="s">
        <v>22</v>
      </c>
      <c r="C6" s="3" t="s">
        <v>47</v>
      </c>
      <c r="D6" s="3" t="s">
        <v>24</v>
      </c>
      <c r="E6" s="3" t="s">
        <v>25</v>
      </c>
      <c r="F6" s="1">
        <v>43009.092361111114</v>
      </c>
      <c r="G6" s="1">
        <v>43009.092361111114</v>
      </c>
      <c r="H6" s="3">
        <v>1050</v>
      </c>
      <c r="I6" s="3">
        <v>9645</v>
      </c>
      <c r="J6" s="3">
        <v>246</v>
      </c>
      <c r="K6" s="3" t="s">
        <v>39</v>
      </c>
      <c r="L6" s="3" t="s">
        <v>27</v>
      </c>
      <c r="M6" s="3">
        <v>1</v>
      </c>
      <c r="N6" s="3" t="s">
        <v>28</v>
      </c>
      <c r="O6" s="3" t="s">
        <v>29</v>
      </c>
      <c r="P6" s="3" t="s">
        <v>30</v>
      </c>
      <c r="Q6" s="3" t="s">
        <v>48</v>
      </c>
      <c r="R6" s="3" t="s">
        <v>49</v>
      </c>
      <c r="S6" s="3" t="s">
        <v>50</v>
      </c>
      <c r="T6" s="3" t="s">
        <v>26</v>
      </c>
      <c r="U6" s="2" t="s">
        <v>26</v>
      </c>
      <c r="W6">
        <f>YEAR(tblData[publish_date])</f>
        <v>2017</v>
      </c>
      <c r="X6">
        <f>MONTH(tblData[publish_date])</f>
        <v>10</v>
      </c>
      <c r="Y6">
        <f>WEEKNUM(TRUNC(tblData[publish_date]))</f>
        <v>40</v>
      </c>
    </row>
    <row r="7" spans="1:25" x14ac:dyDescent="0.25">
      <c r="A7" s="3" t="s">
        <v>21</v>
      </c>
      <c r="B7" s="3" t="s">
        <v>22</v>
      </c>
      <c r="C7" s="3" t="s">
        <v>51</v>
      </c>
      <c r="D7" s="3" t="s">
        <v>24</v>
      </c>
      <c r="E7" s="3" t="s">
        <v>25</v>
      </c>
      <c r="F7" s="1">
        <v>43009.115972222222</v>
      </c>
      <c r="G7" s="1">
        <v>43009.115972222222</v>
      </c>
      <c r="H7" s="3">
        <v>1050</v>
      </c>
      <c r="I7" s="3">
        <v>9644</v>
      </c>
      <c r="J7" s="3">
        <v>247</v>
      </c>
      <c r="K7" s="3" t="s">
        <v>26</v>
      </c>
      <c r="L7" s="3" t="s">
        <v>27</v>
      </c>
      <c r="M7" s="3">
        <v>0</v>
      </c>
      <c r="N7" s="3" t="s">
        <v>28</v>
      </c>
      <c r="O7" s="3" t="s">
        <v>29</v>
      </c>
      <c r="P7" s="3" t="s">
        <v>30</v>
      </c>
      <c r="Q7" s="3" t="s">
        <v>52</v>
      </c>
      <c r="R7" s="3" t="s">
        <v>53</v>
      </c>
      <c r="S7" s="3" t="s">
        <v>54</v>
      </c>
      <c r="T7" s="3" t="s">
        <v>26</v>
      </c>
      <c r="U7" s="2" t="s">
        <v>26</v>
      </c>
      <c r="W7">
        <f>YEAR(tblData[publish_date])</f>
        <v>2017</v>
      </c>
      <c r="X7">
        <f>MONTH(tblData[publish_date])</f>
        <v>10</v>
      </c>
      <c r="Y7">
        <f>WEEKNUM(TRUNC(tblData[publish_date]))</f>
        <v>40</v>
      </c>
    </row>
    <row r="8" spans="1:25" x14ac:dyDescent="0.25">
      <c r="A8" s="3" t="s">
        <v>21</v>
      </c>
      <c r="B8" s="3" t="s">
        <v>22</v>
      </c>
      <c r="C8" s="3" t="s">
        <v>55</v>
      </c>
      <c r="D8" s="3" t="s">
        <v>24</v>
      </c>
      <c r="E8" s="3" t="s">
        <v>25</v>
      </c>
      <c r="F8" s="1">
        <v>43009.116666666669</v>
      </c>
      <c r="G8" s="1">
        <v>43009.116666666669</v>
      </c>
      <c r="H8" s="3">
        <v>1050</v>
      </c>
      <c r="I8" s="3">
        <v>9644</v>
      </c>
      <c r="J8" s="3">
        <v>248</v>
      </c>
      <c r="K8" s="3" t="s">
        <v>39</v>
      </c>
      <c r="L8" s="3" t="s">
        <v>27</v>
      </c>
      <c r="M8" s="3">
        <v>1</v>
      </c>
      <c r="N8" s="3" t="s">
        <v>28</v>
      </c>
      <c r="O8" s="3" t="s">
        <v>29</v>
      </c>
      <c r="P8" s="3" t="s">
        <v>30</v>
      </c>
      <c r="Q8" s="3" t="s">
        <v>56</v>
      </c>
      <c r="R8" s="3" t="s">
        <v>57</v>
      </c>
      <c r="S8" s="3" t="s">
        <v>58</v>
      </c>
      <c r="T8" s="3" t="s">
        <v>26</v>
      </c>
      <c r="U8" s="2" t="s">
        <v>26</v>
      </c>
      <c r="W8">
        <f>YEAR(tblData[publish_date])</f>
        <v>2017</v>
      </c>
      <c r="X8">
        <f>MONTH(tblData[publish_date])</f>
        <v>10</v>
      </c>
      <c r="Y8">
        <f>WEEKNUM(TRUNC(tblData[publish_date]))</f>
        <v>40</v>
      </c>
    </row>
    <row r="9" spans="1:25" x14ac:dyDescent="0.25">
      <c r="A9" s="3" t="s">
        <v>21</v>
      </c>
      <c r="B9" s="3" t="s">
        <v>22</v>
      </c>
      <c r="C9" s="3" t="s">
        <v>59</v>
      </c>
      <c r="D9" s="3" t="s">
        <v>24</v>
      </c>
      <c r="E9" s="3" t="s">
        <v>25</v>
      </c>
      <c r="F9" s="1">
        <v>43009.119444444441</v>
      </c>
      <c r="G9" s="1">
        <v>43009.120138888888</v>
      </c>
      <c r="H9" s="3">
        <v>1050</v>
      </c>
      <c r="I9" s="3">
        <v>9644</v>
      </c>
      <c r="J9" s="3">
        <v>249</v>
      </c>
      <c r="K9" s="3" t="s">
        <v>26</v>
      </c>
      <c r="L9" s="3" t="s">
        <v>27</v>
      </c>
      <c r="M9" s="3">
        <v>0</v>
      </c>
      <c r="N9" s="3" t="s">
        <v>28</v>
      </c>
      <c r="O9" s="3" t="s">
        <v>29</v>
      </c>
      <c r="P9" s="3" t="s">
        <v>30</v>
      </c>
      <c r="Q9" s="3" t="s">
        <v>60</v>
      </c>
      <c r="R9" s="3" t="s">
        <v>61</v>
      </c>
      <c r="S9" s="3" t="s">
        <v>26</v>
      </c>
      <c r="T9" s="3" t="s">
        <v>26</v>
      </c>
      <c r="U9" s="2" t="s">
        <v>26</v>
      </c>
      <c r="W9">
        <f>YEAR(tblData[publish_date])</f>
        <v>2017</v>
      </c>
      <c r="X9">
        <f>MONTH(tblData[publish_date])</f>
        <v>10</v>
      </c>
      <c r="Y9">
        <f>WEEKNUM(TRUNC(tblData[publish_date]))</f>
        <v>40</v>
      </c>
    </row>
    <row r="10" spans="1:25" x14ac:dyDescent="0.25">
      <c r="A10" s="3" t="s">
        <v>21</v>
      </c>
      <c r="B10" s="3" t="s">
        <v>22</v>
      </c>
      <c r="C10" s="3" t="s">
        <v>62</v>
      </c>
      <c r="D10" s="3" t="s">
        <v>24</v>
      </c>
      <c r="E10" s="3" t="s">
        <v>25</v>
      </c>
      <c r="F10" s="1">
        <v>43009.157638888886</v>
      </c>
      <c r="G10" s="1">
        <v>43009.157638888886</v>
      </c>
      <c r="H10" s="3">
        <v>1050</v>
      </c>
      <c r="I10" s="3">
        <v>9646</v>
      </c>
      <c r="J10" s="3">
        <v>250</v>
      </c>
      <c r="K10" s="3" t="s">
        <v>26</v>
      </c>
      <c r="L10" s="3" t="s">
        <v>27</v>
      </c>
      <c r="M10" s="3">
        <v>0</v>
      </c>
      <c r="N10" s="3" t="s">
        <v>28</v>
      </c>
      <c r="O10" s="3" t="s">
        <v>29</v>
      </c>
      <c r="P10" s="3" t="s">
        <v>30</v>
      </c>
      <c r="Q10" s="3" t="s">
        <v>63</v>
      </c>
      <c r="R10" s="3" t="s">
        <v>64</v>
      </c>
      <c r="S10" s="3" t="s">
        <v>65</v>
      </c>
      <c r="T10" s="3" t="s">
        <v>26</v>
      </c>
      <c r="U10" s="2" t="s">
        <v>26</v>
      </c>
      <c r="W10">
        <f>YEAR(tblData[publish_date])</f>
        <v>2017</v>
      </c>
      <c r="X10">
        <f>MONTH(tblData[publish_date])</f>
        <v>10</v>
      </c>
      <c r="Y10">
        <f>WEEKNUM(TRUNC(tblData[publish_date]))</f>
        <v>40</v>
      </c>
    </row>
    <row r="11" spans="1:25" x14ac:dyDescent="0.25">
      <c r="A11" s="3" t="s">
        <v>21</v>
      </c>
      <c r="B11" s="3" t="s">
        <v>22</v>
      </c>
      <c r="C11" s="3" t="s">
        <v>66</v>
      </c>
      <c r="D11" s="3" t="s">
        <v>24</v>
      </c>
      <c r="E11" s="3" t="s">
        <v>25</v>
      </c>
      <c r="F11" s="1">
        <v>43009.160416666666</v>
      </c>
      <c r="G11" s="1">
        <v>43009.160416666666</v>
      </c>
      <c r="H11" s="3">
        <v>1050</v>
      </c>
      <c r="I11" s="3">
        <v>9646</v>
      </c>
      <c r="J11" s="3">
        <v>251</v>
      </c>
      <c r="K11" s="3" t="s">
        <v>26</v>
      </c>
      <c r="L11" s="3" t="s">
        <v>27</v>
      </c>
      <c r="M11" s="3">
        <v>0</v>
      </c>
      <c r="N11" s="3" t="s">
        <v>28</v>
      </c>
      <c r="O11" s="3" t="s">
        <v>29</v>
      </c>
      <c r="P11" s="3" t="s">
        <v>30</v>
      </c>
      <c r="Q11" s="3" t="s">
        <v>67</v>
      </c>
      <c r="R11" s="3" t="s">
        <v>68</v>
      </c>
      <c r="S11" s="3" t="s">
        <v>26</v>
      </c>
      <c r="T11" s="3" t="s">
        <v>26</v>
      </c>
      <c r="U11" s="2" t="s">
        <v>26</v>
      </c>
      <c r="W11">
        <f>YEAR(tblData[publish_date])</f>
        <v>2017</v>
      </c>
      <c r="X11">
        <f>MONTH(tblData[publish_date])</f>
        <v>10</v>
      </c>
      <c r="Y11">
        <f>WEEKNUM(TRUNC(tblData[publish_date]))</f>
        <v>40</v>
      </c>
    </row>
    <row r="12" spans="1:25" x14ac:dyDescent="0.25">
      <c r="A12" s="3" t="s">
        <v>21</v>
      </c>
      <c r="B12" s="3" t="s">
        <v>22</v>
      </c>
      <c r="C12" s="3" t="s">
        <v>69</v>
      </c>
      <c r="D12" s="3" t="s">
        <v>24</v>
      </c>
      <c r="E12" s="3" t="s">
        <v>25</v>
      </c>
      <c r="F12" s="1">
        <v>43009.165277777778</v>
      </c>
      <c r="G12" s="1">
        <v>43009.165277777778</v>
      </c>
      <c r="H12" s="3">
        <v>1050</v>
      </c>
      <c r="I12" s="3">
        <v>9646</v>
      </c>
      <c r="J12" s="3">
        <v>251</v>
      </c>
      <c r="K12" s="3" t="s">
        <v>26</v>
      </c>
      <c r="L12" s="3" t="s">
        <v>27</v>
      </c>
      <c r="M12" s="3">
        <v>0</v>
      </c>
      <c r="N12" s="3" t="s">
        <v>28</v>
      </c>
      <c r="O12" s="3" t="s">
        <v>29</v>
      </c>
      <c r="P12" s="3" t="s">
        <v>30</v>
      </c>
      <c r="Q12" s="3" t="s">
        <v>70</v>
      </c>
      <c r="R12" s="3" t="s">
        <v>71</v>
      </c>
      <c r="S12" s="3" t="s">
        <v>26</v>
      </c>
      <c r="T12" s="3" t="s">
        <v>26</v>
      </c>
      <c r="U12" s="2" t="s">
        <v>26</v>
      </c>
      <c r="W12">
        <f>YEAR(tblData[publish_date])</f>
        <v>2017</v>
      </c>
      <c r="X12">
        <f>MONTH(tblData[publish_date])</f>
        <v>10</v>
      </c>
      <c r="Y12">
        <f>WEEKNUM(TRUNC(tblData[publish_date]))</f>
        <v>40</v>
      </c>
    </row>
    <row r="13" spans="1:25" x14ac:dyDescent="0.25">
      <c r="A13" s="3" t="s">
        <v>21</v>
      </c>
      <c r="B13" s="3" t="s">
        <v>22</v>
      </c>
      <c r="C13" s="3" t="s">
        <v>72</v>
      </c>
      <c r="D13" s="3" t="s">
        <v>24</v>
      </c>
      <c r="E13" s="3" t="s">
        <v>25</v>
      </c>
      <c r="F13" s="1">
        <v>43009.174305555556</v>
      </c>
      <c r="G13" s="1">
        <v>43009.175000000003</v>
      </c>
      <c r="H13" s="3">
        <v>1050</v>
      </c>
      <c r="I13" s="3">
        <v>9645</v>
      </c>
      <c r="J13" s="3">
        <v>252</v>
      </c>
      <c r="K13" s="3" t="s">
        <v>26</v>
      </c>
      <c r="L13" s="3" t="s">
        <v>27</v>
      </c>
      <c r="M13" s="3">
        <v>0</v>
      </c>
      <c r="N13" s="3" t="s">
        <v>28</v>
      </c>
      <c r="O13" s="3" t="s">
        <v>29</v>
      </c>
      <c r="P13" s="3" t="s">
        <v>30</v>
      </c>
      <c r="Q13" s="3" t="s">
        <v>73</v>
      </c>
      <c r="R13" s="3" t="s">
        <v>74</v>
      </c>
      <c r="S13" s="3" t="s">
        <v>26</v>
      </c>
      <c r="T13" s="3" t="s">
        <v>26</v>
      </c>
      <c r="U13" s="2" t="s">
        <v>26</v>
      </c>
      <c r="W13">
        <f>YEAR(tblData[publish_date])</f>
        <v>2017</v>
      </c>
      <c r="X13">
        <f>MONTH(tblData[publish_date])</f>
        <v>10</v>
      </c>
      <c r="Y13">
        <f>WEEKNUM(TRUNC(tblData[publish_date]))</f>
        <v>40</v>
      </c>
    </row>
    <row r="14" spans="1:25" x14ac:dyDescent="0.25">
      <c r="A14" s="3" t="s">
        <v>21</v>
      </c>
      <c r="B14" s="3" t="s">
        <v>22</v>
      </c>
      <c r="C14" s="3" t="s">
        <v>75</v>
      </c>
      <c r="D14" s="3" t="s">
        <v>24</v>
      </c>
      <c r="E14" s="3" t="s">
        <v>25</v>
      </c>
      <c r="F14" s="1">
        <v>43018.872916666667</v>
      </c>
      <c r="G14" s="1">
        <v>43018.872916666667</v>
      </c>
      <c r="H14" s="3">
        <v>1066</v>
      </c>
      <c r="I14" s="3">
        <v>10319</v>
      </c>
      <c r="J14" s="3">
        <v>301</v>
      </c>
      <c r="K14" s="3" t="s">
        <v>26</v>
      </c>
      <c r="L14" s="3" t="s">
        <v>27</v>
      </c>
      <c r="M14" s="3">
        <v>0</v>
      </c>
      <c r="N14" s="3" t="s">
        <v>28</v>
      </c>
      <c r="O14" s="3" t="s">
        <v>29</v>
      </c>
      <c r="P14" s="3" t="s">
        <v>30</v>
      </c>
      <c r="Q14" s="3" t="s">
        <v>76</v>
      </c>
      <c r="R14" s="3" t="s">
        <v>77</v>
      </c>
      <c r="S14" s="3" t="s">
        <v>78</v>
      </c>
      <c r="T14" s="3" t="s">
        <v>26</v>
      </c>
      <c r="U14" s="2" t="s">
        <v>26</v>
      </c>
      <c r="W14">
        <f>YEAR(tblData[publish_date])</f>
        <v>2017</v>
      </c>
      <c r="X14">
        <f>MONTH(tblData[publish_date])</f>
        <v>10</v>
      </c>
      <c r="Y14">
        <f>WEEKNUM(TRUNC(tblData[publish_date]))</f>
        <v>41</v>
      </c>
    </row>
    <row r="15" spans="1:25" x14ac:dyDescent="0.25">
      <c r="A15" s="3" t="s">
        <v>21</v>
      </c>
      <c r="B15" s="3" t="s">
        <v>22</v>
      </c>
      <c r="C15" s="3" t="s">
        <v>79</v>
      </c>
      <c r="D15" s="3" t="s">
        <v>24</v>
      </c>
      <c r="E15" s="3" t="s">
        <v>25</v>
      </c>
      <c r="F15" s="1">
        <v>43018.915972222225</v>
      </c>
      <c r="G15" s="1">
        <v>43018.915972222225</v>
      </c>
      <c r="H15" s="3">
        <v>1066</v>
      </c>
      <c r="I15" s="3">
        <v>10320</v>
      </c>
      <c r="J15" s="3">
        <v>302</v>
      </c>
      <c r="K15" s="3" t="s">
        <v>26</v>
      </c>
      <c r="L15" s="3" t="s">
        <v>27</v>
      </c>
      <c r="M15" s="3">
        <v>0</v>
      </c>
      <c r="N15" s="3" t="s">
        <v>28</v>
      </c>
      <c r="O15" s="3" t="s">
        <v>29</v>
      </c>
      <c r="P15" s="3" t="s">
        <v>30</v>
      </c>
      <c r="Q15" s="3" t="s">
        <v>80</v>
      </c>
      <c r="R15" s="3" t="s">
        <v>81</v>
      </c>
      <c r="S15" s="3" t="s">
        <v>82</v>
      </c>
      <c r="T15" s="3" t="s">
        <v>26</v>
      </c>
      <c r="U15" s="2" t="s">
        <v>26</v>
      </c>
      <c r="W15">
        <f>YEAR(tblData[publish_date])</f>
        <v>2017</v>
      </c>
      <c r="X15">
        <f>MONTH(tblData[publish_date])</f>
        <v>10</v>
      </c>
      <c r="Y15">
        <f>WEEKNUM(TRUNC(tblData[publish_date]))</f>
        <v>41</v>
      </c>
    </row>
    <row r="16" spans="1:25" x14ac:dyDescent="0.25">
      <c r="A16" s="3" t="s">
        <v>21</v>
      </c>
      <c r="B16" s="3" t="s">
        <v>22</v>
      </c>
      <c r="C16" s="3" t="s">
        <v>83</v>
      </c>
      <c r="D16" s="3" t="s">
        <v>24</v>
      </c>
      <c r="E16" s="3" t="s">
        <v>25</v>
      </c>
      <c r="F16" s="1">
        <v>43018.92083333333</v>
      </c>
      <c r="G16" s="1">
        <v>43018.92083333333</v>
      </c>
      <c r="H16" s="3">
        <v>1066</v>
      </c>
      <c r="I16" s="3">
        <v>10320</v>
      </c>
      <c r="J16" s="3">
        <v>302</v>
      </c>
      <c r="K16" s="3" t="s">
        <v>26</v>
      </c>
      <c r="L16" s="3" t="s">
        <v>27</v>
      </c>
      <c r="M16" s="3">
        <v>0</v>
      </c>
      <c r="N16" s="3" t="s">
        <v>28</v>
      </c>
      <c r="O16" s="3" t="s">
        <v>29</v>
      </c>
      <c r="P16" s="3" t="s">
        <v>30</v>
      </c>
      <c r="Q16" s="3" t="s">
        <v>84</v>
      </c>
      <c r="R16" s="3" t="s">
        <v>85</v>
      </c>
      <c r="S16" s="3" t="s">
        <v>86</v>
      </c>
      <c r="T16" s="3" t="s">
        <v>26</v>
      </c>
      <c r="U16" s="2" t="s">
        <v>26</v>
      </c>
      <c r="W16">
        <f>YEAR(tblData[publish_date])</f>
        <v>2017</v>
      </c>
      <c r="X16">
        <f>MONTH(tblData[publish_date])</f>
        <v>10</v>
      </c>
      <c r="Y16">
        <f>WEEKNUM(TRUNC(tblData[publish_date]))</f>
        <v>41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6"/>
  <sheetViews>
    <sheetView zoomScale="85" zoomScaleNormal="85" workbookViewId="0"/>
  </sheetViews>
  <sheetFormatPr defaultRowHeight="15" x14ac:dyDescent="0.25"/>
  <cols>
    <col min="1" max="1" width="20.5703125" customWidth="1"/>
    <col min="2" max="2" width="9.140625" customWidth="1"/>
    <col min="3" max="3" width="81.140625" customWidth="1"/>
    <col min="4" max="4" width="9.42578125" customWidth="1"/>
    <col min="5" max="5" width="11.28515625" customWidth="1"/>
    <col min="6" max="6" width="15.85546875" bestFit="1" customWidth="1"/>
    <col min="7" max="7" width="17.28515625" customWidth="1"/>
    <col min="8" max="9" width="11.7109375" customWidth="1"/>
    <col min="10" max="10" width="10.42578125" customWidth="1"/>
    <col min="11" max="11" width="12.140625" customWidth="1"/>
    <col min="12" max="12" width="15.140625" customWidth="1"/>
    <col min="13" max="13" width="10.42578125" customWidth="1"/>
    <col min="14" max="14" width="18.85546875" customWidth="1"/>
    <col min="15" max="15" width="17.28515625" customWidth="1"/>
    <col min="16" max="17" width="19.28515625" bestFit="1" customWidth="1"/>
    <col min="18" max="18" width="65.140625" bestFit="1" customWidth="1"/>
    <col min="19" max="19" width="69.28515625" customWidth="1"/>
    <col min="20" max="21" width="12.85546875" customWidth="1"/>
    <col min="23" max="23" width="81.140625" customWidth="1"/>
    <col min="24" max="24" width="9.42578125" bestFit="1" customWidth="1"/>
    <col min="25" max="25" width="11.28515625" bestFit="1" customWidth="1"/>
    <col min="26" max="26" width="15.85546875" bestFit="1" customWidth="1"/>
    <col min="27" max="27" width="17.28515625" bestFit="1" customWidth="1"/>
    <col min="28" max="29" width="11.7109375" bestFit="1" customWidth="1"/>
    <col min="30" max="30" width="10.42578125" bestFit="1" customWidth="1"/>
    <col min="31" max="31" width="12.140625" bestFit="1" customWidth="1"/>
    <col min="32" max="32" width="15.140625" bestFit="1" customWidth="1"/>
    <col min="33" max="33" width="10.42578125" bestFit="1" customWidth="1"/>
    <col min="34" max="34" width="18.85546875" bestFit="1" customWidth="1"/>
    <col min="35" max="35" width="17.28515625" bestFit="1" customWidth="1"/>
    <col min="36" max="37" width="19.28515625" bestFit="1" customWidth="1"/>
    <col min="38" max="38" width="65.140625" bestFit="1" customWidth="1"/>
    <col min="39" max="39" width="69.28515625" bestFit="1" customWidth="1"/>
    <col min="40" max="41" width="12.85546875" bestFit="1" customWidth="1"/>
  </cols>
  <sheetData>
    <row r="1" spans="1:2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1" t="s">
        <v>5</v>
      </c>
      <c r="G1" s="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2" t="s">
        <v>20</v>
      </c>
    </row>
    <row r="2" spans="1:21" x14ac:dyDescent="0.25">
      <c r="A2" s="3" t="s">
        <v>21</v>
      </c>
      <c r="B2" s="3" t="s">
        <v>22</v>
      </c>
      <c r="C2" s="3" t="s">
        <v>23</v>
      </c>
      <c r="D2" s="3" t="s">
        <v>24</v>
      </c>
      <c r="E2" s="3" t="s">
        <v>25</v>
      </c>
      <c r="F2" s="1">
        <v>43009.831944444442</v>
      </c>
      <c r="G2" s="1">
        <v>43009.832638888889</v>
      </c>
      <c r="H2" s="3">
        <v>1052</v>
      </c>
      <c r="I2" s="3">
        <v>9636</v>
      </c>
      <c r="J2" s="3">
        <v>253</v>
      </c>
      <c r="K2" s="3" t="s">
        <v>26</v>
      </c>
      <c r="L2" s="3" t="s">
        <v>27</v>
      </c>
      <c r="M2" s="3">
        <v>0</v>
      </c>
      <c r="N2" s="3" t="s">
        <v>28</v>
      </c>
      <c r="O2" s="3" t="s">
        <v>29</v>
      </c>
      <c r="P2" s="3" t="s">
        <v>30</v>
      </c>
      <c r="Q2" s="3" t="s">
        <v>31</v>
      </c>
      <c r="R2" s="3" t="s">
        <v>32</v>
      </c>
      <c r="S2" s="3" t="s">
        <v>33</v>
      </c>
      <c r="T2" s="3" t="s">
        <v>26</v>
      </c>
      <c r="U2" s="2" t="s">
        <v>26</v>
      </c>
    </row>
    <row r="3" spans="1:21" x14ac:dyDescent="0.25">
      <c r="A3" s="3" t="s">
        <v>21</v>
      </c>
      <c r="B3" s="3" t="s">
        <v>22</v>
      </c>
      <c r="C3" s="3" t="s">
        <v>34</v>
      </c>
      <c r="D3" s="3" t="s">
        <v>24</v>
      </c>
      <c r="E3" s="3" t="s">
        <v>25</v>
      </c>
      <c r="F3" s="1">
        <v>43009.946527777778</v>
      </c>
      <c r="G3" s="1">
        <v>43009.946527777778</v>
      </c>
      <c r="H3" s="3">
        <v>1054</v>
      </c>
      <c r="I3" s="3">
        <v>9637</v>
      </c>
      <c r="J3" s="3">
        <v>254</v>
      </c>
      <c r="K3" s="3" t="s">
        <v>26</v>
      </c>
      <c r="L3" s="3" t="s">
        <v>27</v>
      </c>
      <c r="M3" s="3">
        <v>0</v>
      </c>
      <c r="N3" s="3" t="s">
        <v>28</v>
      </c>
      <c r="O3" s="3" t="s">
        <v>29</v>
      </c>
      <c r="P3" s="3" t="s">
        <v>30</v>
      </c>
      <c r="Q3" s="3" t="s">
        <v>35</v>
      </c>
      <c r="R3" s="3" t="s">
        <v>36</v>
      </c>
      <c r="S3" s="3" t="s">
        <v>37</v>
      </c>
      <c r="T3" s="3" t="s">
        <v>26</v>
      </c>
      <c r="U3" s="2" t="s">
        <v>26</v>
      </c>
    </row>
    <row r="4" spans="1:21" x14ac:dyDescent="0.25">
      <c r="A4" s="3" t="s">
        <v>21</v>
      </c>
      <c r="B4" s="3" t="s">
        <v>22</v>
      </c>
      <c r="C4" s="3" t="s">
        <v>38</v>
      </c>
      <c r="D4" s="3" t="s">
        <v>24</v>
      </c>
      <c r="E4" s="3" t="s">
        <v>25</v>
      </c>
      <c r="F4" s="1">
        <v>43009.951388888891</v>
      </c>
      <c r="G4" s="1">
        <v>43009.95208333333</v>
      </c>
      <c r="H4" s="3">
        <v>1054</v>
      </c>
      <c r="I4" s="3">
        <v>9637</v>
      </c>
      <c r="J4" s="3">
        <v>255</v>
      </c>
      <c r="K4" s="3" t="s">
        <v>39</v>
      </c>
      <c r="L4" s="3" t="s">
        <v>27</v>
      </c>
      <c r="M4" s="3">
        <v>1</v>
      </c>
      <c r="N4" s="3" t="s">
        <v>28</v>
      </c>
      <c r="O4" s="3" t="s">
        <v>29</v>
      </c>
      <c r="P4" s="3" t="s">
        <v>30</v>
      </c>
      <c r="Q4" s="3" t="s">
        <v>40</v>
      </c>
      <c r="R4" s="3" t="s">
        <v>41</v>
      </c>
      <c r="S4" s="3" t="s">
        <v>42</v>
      </c>
      <c r="T4" s="3" t="s">
        <v>26</v>
      </c>
      <c r="U4" s="2" t="s">
        <v>26</v>
      </c>
    </row>
    <row r="5" spans="1:21" x14ac:dyDescent="0.25">
      <c r="A5" s="3" t="s">
        <v>21</v>
      </c>
      <c r="B5" s="3" t="s">
        <v>22</v>
      </c>
      <c r="C5" s="3" t="s">
        <v>43</v>
      </c>
      <c r="D5" s="3" t="s">
        <v>24</v>
      </c>
      <c r="E5" s="3" t="s">
        <v>25</v>
      </c>
      <c r="F5" s="1">
        <v>43009.994444444441</v>
      </c>
      <c r="G5" s="1">
        <v>43009.994444444441</v>
      </c>
      <c r="H5" s="3">
        <v>1062</v>
      </c>
      <c r="I5" s="3">
        <v>9642</v>
      </c>
      <c r="J5" s="3">
        <v>256</v>
      </c>
      <c r="K5" s="3" t="s">
        <v>26</v>
      </c>
      <c r="L5" s="3" t="s">
        <v>27</v>
      </c>
      <c r="M5" s="3">
        <v>0</v>
      </c>
      <c r="N5" s="3" t="s">
        <v>28</v>
      </c>
      <c r="O5" s="3" t="s">
        <v>29</v>
      </c>
      <c r="P5" s="3" t="s">
        <v>30</v>
      </c>
      <c r="Q5" s="3" t="s">
        <v>44</v>
      </c>
      <c r="R5" s="3" t="s">
        <v>45</v>
      </c>
      <c r="S5" s="3" t="s">
        <v>46</v>
      </c>
      <c r="T5" s="3" t="s">
        <v>26</v>
      </c>
      <c r="U5" s="2" t="s">
        <v>26</v>
      </c>
    </row>
    <row r="6" spans="1:21" x14ac:dyDescent="0.25">
      <c r="A6" s="3" t="s">
        <v>21</v>
      </c>
      <c r="B6" s="3" t="s">
        <v>22</v>
      </c>
      <c r="C6" s="3" t="s">
        <v>47</v>
      </c>
      <c r="D6" s="3" t="s">
        <v>24</v>
      </c>
      <c r="E6" s="3" t="s">
        <v>25</v>
      </c>
      <c r="F6" s="1">
        <v>43009.092361111114</v>
      </c>
      <c r="G6" s="1">
        <v>43009.092361111114</v>
      </c>
      <c r="H6" s="3">
        <v>1050</v>
      </c>
      <c r="I6" s="3">
        <v>9645</v>
      </c>
      <c r="J6" s="3">
        <v>246</v>
      </c>
      <c r="K6" s="3" t="s">
        <v>39</v>
      </c>
      <c r="L6" s="3" t="s">
        <v>27</v>
      </c>
      <c r="M6" s="3">
        <v>1</v>
      </c>
      <c r="N6" s="3" t="s">
        <v>28</v>
      </c>
      <c r="O6" s="3" t="s">
        <v>29</v>
      </c>
      <c r="P6" s="3" t="s">
        <v>30</v>
      </c>
      <c r="Q6" s="3" t="s">
        <v>48</v>
      </c>
      <c r="R6" s="3" t="s">
        <v>49</v>
      </c>
      <c r="S6" s="3" t="s">
        <v>50</v>
      </c>
      <c r="T6" s="3" t="s">
        <v>26</v>
      </c>
      <c r="U6" s="2" t="s">
        <v>26</v>
      </c>
    </row>
    <row r="7" spans="1:21" x14ac:dyDescent="0.25">
      <c r="A7" s="3" t="s">
        <v>21</v>
      </c>
      <c r="B7" s="3" t="s">
        <v>22</v>
      </c>
      <c r="C7" s="3" t="s">
        <v>51</v>
      </c>
      <c r="D7" s="3" t="s">
        <v>24</v>
      </c>
      <c r="E7" s="3" t="s">
        <v>25</v>
      </c>
      <c r="F7" s="1">
        <v>43009.115972222222</v>
      </c>
      <c r="G7" s="1">
        <v>43009.115972222222</v>
      </c>
      <c r="H7" s="3">
        <v>1050</v>
      </c>
      <c r="I7" s="3">
        <v>9644</v>
      </c>
      <c r="J7" s="3">
        <v>247</v>
      </c>
      <c r="K7" s="3" t="s">
        <v>26</v>
      </c>
      <c r="L7" s="3" t="s">
        <v>27</v>
      </c>
      <c r="M7" s="3">
        <v>0</v>
      </c>
      <c r="N7" s="3" t="s">
        <v>28</v>
      </c>
      <c r="O7" s="3" t="s">
        <v>29</v>
      </c>
      <c r="P7" s="3" t="s">
        <v>30</v>
      </c>
      <c r="Q7" s="3" t="s">
        <v>52</v>
      </c>
      <c r="R7" s="3" t="s">
        <v>53</v>
      </c>
      <c r="S7" s="3" t="s">
        <v>54</v>
      </c>
      <c r="T7" s="3" t="s">
        <v>26</v>
      </c>
      <c r="U7" s="2" t="s">
        <v>26</v>
      </c>
    </row>
    <row r="8" spans="1:21" x14ac:dyDescent="0.25">
      <c r="A8" s="3" t="s">
        <v>21</v>
      </c>
      <c r="B8" s="3" t="s">
        <v>22</v>
      </c>
      <c r="C8" s="3" t="s">
        <v>55</v>
      </c>
      <c r="D8" s="3" t="s">
        <v>24</v>
      </c>
      <c r="E8" s="3" t="s">
        <v>25</v>
      </c>
      <c r="F8" s="1">
        <v>43009.116666666669</v>
      </c>
      <c r="G8" s="1">
        <v>43009.116666666669</v>
      </c>
      <c r="H8" s="3">
        <v>1050</v>
      </c>
      <c r="I8" s="3">
        <v>9644</v>
      </c>
      <c r="J8" s="3">
        <v>248</v>
      </c>
      <c r="K8" s="3" t="s">
        <v>39</v>
      </c>
      <c r="L8" s="3" t="s">
        <v>27</v>
      </c>
      <c r="M8" s="3">
        <v>1</v>
      </c>
      <c r="N8" s="3" t="s">
        <v>28</v>
      </c>
      <c r="O8" s="3" t="s">
        <v>29</v>
      </c>
      <c r="P8" s="3" t="s">
        <v>30</v>
      </c>
      <c r="Q8" s="3" t="s">
        <v>56</v>
      </c>
      <c r="R8" s="3" t="s">
        <v>57</v>
      </c>
      <c r="S8" s="3" t="s">
        <v>58</v>
      </c>
      <c r="T8" s="3" t="s">
        <v>26</v>
      </c>
      <c r="U8" s="2" t="s">
        <v>26</v>
      </c>
    </row>
    <row r="9" spans="1:21" x14ac:dyDescent="0.25">
      <c r="A9" s="3" t="s">
        <v>21</v>
      </c>
      <c r="B9" s="3" t="s">
        <v>22</v>
      </c>
      <c r="C9" s="3" t="s">
        <v>59</v>
      </c>
      <c r="D9" s="3" t="s">
        <v>24</v>
      </c>
      <c r="E9" s="3" t="s">
        <v>25</v>
      </c>
      <c r="F9" s="1">
        <v>43009.119444444441</v>
      </c>
      <c r="G9" s="1">
        <v>43009.120138888888</v>
      </c>
      <c r="H9" s="3">
        <v>1050</v>
      </c>
      <c r="I9" s="3">
        <v>9644</v>
      </c>
      <c r="J9" s="3">
        <v>249</v>
      </c>
      <c r="K9" s="3" t="s">
        <v>26</v>
      </c>
      <c r="L9" s="3" t="s">
        <v>27</v>
      </c>
      <c r="M9" s="3">
        <v>0</v>
      </c>
      <c r="N9" s="3" t="s">
        <v>28</v>
      </c>
      <c r="O9" s="3" t="s">
        <v>29</v>
      </c>
      <c r="P9" s="3" t="s">
        <v>30</v>
      </c>
      <c r="Q9" s="3" t="s">
        <v>60</v>
      </c>
      <c r="R9" s="3" t="s">
        <v>61</v>
      </c>
      <c r="S9" s="3" t="s">
        <v>26</v>
      </c>
      <c r="T9" s="3" t="s">
        <v>26</v>
      </c>
      <c r="U9" s="2" t="s">
        <v>26</v>
      </c>
    </row>
    <row r="10" spans="1:21" x14ac:dyDescent="0.25">
      <c r="A10" s="3" t="s">
        <v>21</v>
      </c>
      <c r="B10" s="3" t="s">
        <v>22</v>
      </c>
      <c r="C10" s="3" t="s">
        <v>62</v>
      </c>
      <c r="D10" s="3" t="s">
        <v>24</v>
      </c>
      <c r="E10" s="3" t="s">
        <v>25</v>
      </c>
      <c r="F10" s="1">
        <v>43009.157638888886</v>
      </c>
      <c r="G10" s="1">
        <v>43009.157638888886</v>
      </c>
      <c r="H10" s="3">
        <v>1050</v>
      </c>
      <c r="I10" s="3">
        <v>9646</v>
      </c>
      <c r="J10" s="3">
        <v>250</v>
      </c>
      <c r="K10" s="3" t="s">
        <v>26</v>
      </c>
      <c r="L10" s="3" t="s">
        <v>27</v>
      </c>
      <c r="M10" s="3">
        <v>0</v>
      </c>
      <c r="N10" s="3" t="s">
        <v>28</v>
      </c>
      <c r="O10" s="3" t="s">
        <v>29</v>
      </c>
      <c r="P10" s="3" t="s">
        <v>30</v>
      </c>
      <c r="Q10" s="3" t="s">
        <v>63</v>
      </c>
      <c r="R10" s="3" t="s">
        <v>64</v>
      </c>
      <c r="S10" s="3" t="s">
        <v>65</v>
      </c>
      <c r="T10" s="3" t="s">
        <v>26</v>
      </c>
      <c r="U10" s="2" t="s">
        <v>26</v>
      </c>
    </row>
    <row r="11" spans="1:21" x14ac:dyDescent="0.25">
      <c r="A11" s="3" t="s">
        <v>21</v>
      </c>
      <c r="B11" s="3" t="s">
        <v>22</v>
      </c>
      <c r="C11" s="3" t="s">
        <v>66</v>
      </c>
      <c r="D11" s="3" t="s">
        <v>24</v>
      </c>
      <c r="E11" s="3" t="s">
        <v>25</v>
      </c>
      <c r="F11" s="1">
        <v>43009.160416666666</v>
      </c>
      <c r="G11" s="1">
        <v>43009.160416666666</v>
      </c>
      <c r="H11" s="3">
        <v>1050</v>
      </c>
      <c r="I11" s="3">
        <v>9646</v>
      </c>
      <c r="J11" s="3">
        <v>251</v>
      </c>
      <c r="K11" s="3" t="s">
        <v>26</v>
      </c>
      <c r="L11" s="3" t="s">
        <v>27</v>
      </c>
      <c r="M11" s="3">
        <v>0</v>
      </c>
      <c r="N11" s="3" t="s">
        <v>28</v>
      </c>
      <c r="O11" s="3" t="s">
        <v>29</v>
      </c>
      <c r="P11" s="3" t="s">
        <v>30</v>
      </c>
      <c r="Q11" s="3" t="s">
        <v>67</v>
      </c>
      <c r="R11" s="3" t="s">
        <v>68</v>
      </c>
      <c r="S11" s="3" t="s">
        <v>26</v>
      </c>
      <c r="T11" s="3" t="s">
        <v>26</v>
      </c>
      <c r="U11" s="2" t="s">
        <v>26</v>
      </c>
    </row>
    <row r="12" spans="1:21" x14ac:dyDescent="0.25">
      <c r="A12" s="3" t="s">
        <v>21</v>
      </c>
      <c r="B12" s="3" t="s">
        <v>22</v>
      </c>
      <c r="C12" s="3" t="s">
        <v>69</v>
      </c>
      <c r="D12" s="3" t="s">
        <v>24</v>
      </c>
      <c r="E12" s="3" t="s">
        <v>25</v>
      </c>
      <c r="F12" s="1">
        <v>43009.165277777778</v>
      </c>
      <c r="G12" s="1">
        <v>43009.165277777778</v>
      </c>
      <c r="H12" s="3">
        <v>1050</v>
      </c>
      <c r="I12" s="3">
        <v>9646</v>
      </c>
      <c r="J12" s="3">
        <v>251</v>
      </c>
      <c r="K12" s="3" t="s">
        <v>26</v>
      </c>
      <c r="L12" s="3" t="s">
        <v>27</v>
      </c>
      <c r="M12" s="3">
        <v>0</v>
      </c>
      <c r="N12" s="3" t="s">
        <v>28</v>
      </c>
      <c r="O12" s="3" t="s">
        <v>29</v>
      </c>
      <c r="P12" s="3" t="s">
        <v>30</v>
      </c>
      <c r="Q12" s="3" t="s">
        <v>70</v>
      </c>
      <c r="R12" s="3" t="s">
        <v>71</v>
      </c>
      <c r="S12" s="3" t="s">
        <v>26</v>
      </c>
      <c r="T12" s="3" t="s">
        <v>26</v>
      </c>
      <c r="U12" s="2" t="s">
        <v>26</v>
      </c>
    </row>
    <row r="13" spans="1:21" x14ac:dyDescent="0.25">
      <c r="A13" s="3" t="s">
        <v>21</v>
      </c>
      <c r="B13" s="3" t="s">
        <v>22</v>
      </c>
      <c r="C13" s="3" t="s">
        <v>72</v>
      </c>
      <c r="D13" s="3" t="s">
        <v>24</v>
      </c>
      <c r="E13" s="3" t="s">
        <v>25</v>
      </c>
      <c r="F13" s="1">
        <v>43009.174305555556</v>
      </c>
      <c r="G13" s="1">
        <v>43009.175000000003</v>
      </c>
      <c r="H13" s="3">
        <v>1050</v>
      </c>
      <c r="I13" s="3">
        <v>9645</v>
      </c>
      <c r="J13" s="3">
        <v>252</v>
      </c>
      <c r="K13" s="3" t="s">
        <v>26</v>
      </c>
      <c r="L13" s="3" t="s">
        <v>27</v>
      </c>
      <c r="M13" s="3">
        <v>0</v>
      </c>
      <c r="N13" s="3" t="s">
        <v>28</v>
      </c>
      <c r="O13" s="3" t="s">
        <v>29</v>
      </c>
      <c r="P13" s="3" t="s">
        <v>30</v>
      </c>
      <c r="Q13" s="3" t="s">
        <v>73</v>
      </c>
      <c r="R13" s="3" t="s">
        <v>74</v>
      </c>
      <c r="S13" s="3" t="s">
        <v>26</v>
      </c>
      <c r="T13" s="3" t="s">
        <v>26</v>
      </c>
      <c r="U13" s="2" t="s">
        <v>26</v>
      </c>
    </row>
    <row r="14" spans="1:21" x14ac:dyDescent="0.25">
      <c r="A14" s="3" t="s">
        <v>21</v>
      </c>
      <c r="B14" s="3" t="s">
        <v>22</v>
      </c>
      <c r="C14" s="3" t="s">
        <v>75</v>
      </c>
      <c r="D14" s="3" t="s">
        <v>24</v>
      </c>
      <c r="E14" s="3" t="s">
        <v>25</v>
      </c>
      <c r="F14" s="1">
        <v>43018.872916666667</v>
      </c>
      <c r="G14" s="1">
        <v>43018.872916666667</v>
      </c>
      <c r="H14" s="3">
        <v>1066</v>
      </c>
      <c r="I14" s="3">
        <v>10319</v>
      </c>
      <c r="J14" s="3">
        <v>301</v>
      </c>
      <c r="K14" s="3" t="s">
        <v>26</v>
      </c>
      <c r="L14" s="3" t="s">
        <v>27</v>
      </c>
      <c r="M14" s="3">
        <v>0</v>
      </c>
      <c r="N14" s="3" t="s">
        <v>28</v>
      </c>
      <c r="O14" s="3" t="s">
        <v>29</v>
      </c>
      <c r="P14" s="3" t="s">
        <v>30</v>
      </c>
      <c r="Q14" s="3" t="s">
        <v>76</v>
      </c>
      <c r="R14" s="3" t="s">
        <v>77</v>
      </c>
      <c r="S14" s="3" t="s">
        <v>78</v>
      </c>
      <c r="T14" s="3" t="s">
        <v>26</v>
      </c>
      <c r="U14" s="2" t="s">
        <v>26</v>
      </c>
    </row>
    <row r="15" spans="1:21" x14ac:dyDescent="0.25">
      <c r="A15" s="3" t="s">
        <v>21</v>
      </c>
      <c r="B15" s="3" t="s">
        <v>22</v>
      </c>
      <c r="C15" s="3" t="s">
        <v>79</v>
      </c>
      <c r="D15" s="3" t="s">
        <v>24</v>
      </c>
      <c r="E15" s="3" t="s">
        <v>25</v>
      </c>
      <c r="F15" s="1">
        <v>43018.915972222225</v>
      </c>
      <c r="G15" s="1">
        <v>43018.915972222225</v>
      </c>
      <c r="H15" s="3">
        <v>1066</v>
      </c>
      <c r="I15" s="3">
        <v>10320</v>
      </c>
      <c r="J15" s="3">
        <v>302</v>
      </c>
      <c r="K15" s="3" t="s">
        <v>26</v>
      </c>
      <c r="L15" s="3" t="s">
        <v>27</v>
      </c>
      <c r="M15" s="3">
        <v>0</v>
      </c>
      <c r="N15" s="3" t="s">
        <v>28</v>
      </c>
      <c r="O15" s="3" t="s">
        <v>29</v>
      </c>
      <c r="P15" s="3" t="s">
        <v>30</v>
      </c>
      <c r="Q15" s="3" t="s">
        <v>80</v>
      </c>
      <c r="R15" s="3" t="s">
        <v>81</v>
      </c>
      <c r="S15" s="3" t="s">
        <v>82</v>
      </c>
      <c r="T15" s="3" t="s">
        <v>26</v>
      </c>
      <c r="U15" s="2" t="s">
        <v>26</v>
      </c>
    </row>
    <row r="16" spans="1:21" x14ac:dyDescent="0.25">
      <c r="A16" s="3" t="s">
        <v>21</v>
      </c>
      <c r="B16" s="3" t="s">
        <v>22</v>
      </c>
      <c r="C16" s="3" t="s">
        <v>83</v>
      </c>
      <c r="D16" s="3" t="s">
        <v>24</v>
      </c>
      <c r="E16" s="3" t="s">
        <v>25</v>
      </c>
      <c r="F16" s="1">
        <v>43018.92083333333</v>
      </c>
      <c r="G16" s="1">
        <v>43018.92083333333</v>
      </c>
      <c r="H16" s="3">
        <v>1066</v>
      </c>
      <c r="I16" s="3">
        <v>10320</v>
      </c>
      <c r="J16" s="3">
        <v>302</v>
      </c>
      <c r="K16" s="3" t="s">
        <v>26</v>
      </c>
      <c r="L16" s="3" t="s">
        <v>27</v>
      </c>
      <c r="M16" s="3">
        <v>0</v>
      </c>
      <c r="N16" s="3" t="s">
        <v>28</v>
      </c>
      <c r="O16" s="3" t="s">
        <v>29</v>
      </c>
      <c r="P16" s="3" t="s">
        <v>30</v>
      </c>
      <c r="Q16" s="3" t="s">
        <v>84</v>
      </c>
      <c r="R16" s="3" t="s">
        <v>85</v>
      </c>
      <c r="S16" s="3" t="s">
        <v>86</v>
      </c>
      <c r="T16" s="3" t="s">
        <v>26</v>
      </c>
      <c r="U16" s="2" t="s">
        <v>26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5B3A09-19D1-4DBB-9340-C36072DC5BE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pt.1</vt:lpstr>
      <vt:lpstr>tData</vt:lpstr>
      <vt:lpstr>tImport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Rob Hines</cp:lastModifiedBy>
  <dcterms:created xsi:type="dcterms:W3CDTF">2006-09-16T00:00:00Z</dcterms:created>
  <dcterms:modified xsi:type="dcterms:W3CDTF">2019-01-21T01:29:40Z</dcterms:modified>
</cp:coreProperties>
</file>